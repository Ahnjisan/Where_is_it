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안내" sheetId="1" r:id="rId5"/>
    <sheet state="visible" name="01_테이블목록" sheetId="2" r:id="rId6"/>
    <sheet state="visible" name="02_관계" sheetId="3" r:id="rId7"/>
    <sheet state="visible" name="03_키_인덱스" sheetId="4" r:id="rId8"/>
    <sheet state="visible" name="04_상태_검사" sheetId="5" r:id="rId9"/>
    <sheet state="visible" name="05_회원" sheetId="6" r:id="rId10"/>
    <sheet state="visible" name="06_분실물검색추적" sheetId="7" r:id="rId11"/>
    <sheet state="visible" name="07_대화메시지" sheetId="8" r:id="rId12"/>
    <sheet state="visible" name="08_습득물" sheetId="9" r:id="rId13"/>
    <sheet state="visible" name="09_이메일알림" sheetId="10" r:id="rId14"/>
    <sheet state="visible" name="10_분실물후보" sheetId="11" r:id="rId15"/>
    <sheet state="visible" name="11_리프레시토큰" sheetId="12" r:id="rId16"/>
  </sheets>
  <definedNames/>
  <calcPr/>
</workbook>
</file>

<file path=xl/sharedStrings.xml><?xml version="1.0" encoding="utf-8"?>
<sst xmlns="http://schemas.openxmlformats.org/spreadsheetml/2006/main" count="1340" uniqueCount="586">
  <si>
    <t>어디갔지 | 한글 테이블 명세서</t>
  </si>
  <si>
    <t>v2 · 간소화안 v0.3 + 리프레시_토큰 · 한글 식별자 버전</t>
  </si>
  <si>
    <t>v0.3 한글 명세에 회원 도메인(API 명세 v2)을 반영 · 2026-09-22 · 실제 MySQL / ERDCloud 실행 미검증</t>
  </si>
  <si>
    <t>테이블 수</t>
  </si>
  <si>
    <t>전체 컬럼 수</t>
  </si>
  <si>
    <t>외래키 수</t>
  </si>
  <si>
    <t>변경 범위</t>
  </si>
  <si>
    <t>v2에서 리프레시_토큰 테이블을 추가하고, 시간 기준을 UTC에서 KST로 바꿨습니다</t>
  </si>
  <si>
    <t>유지 범위</t>
  </si>
  <si>
    <t>기존 6개 테이블의 컬럼 순서·타입·NULL·기본값·자동증가·콜레이션·키 조합·CHECK 식은 그대로 유지했습니다.</t>
  </si>
  <si>
    <t>실제 식별자</t>
  </si>
  <si>
    <t>COMMENT만 한글화한 것이 아니라 실제 CREATE TABLE·컬럼·키 이름이 한글인 별도 SQL입니다.</t>
  </si>
  <si>
    <t>저장 코드값</t>
  </si>
  <si>
    <t>SEARCHING / TRACKING / EXPIRED, POLICE / PORTAL 등의 저장값은 기존 그대로입니다. 한국어 뜻은 04_상태_검사에 있습니다.</t>
  </si>
  <si>
    <t>SQL 문법</t>
  </si>
  <si>
    <t>PRIMARY KEY · FOREIGN KEY · CHECK 등 SQL 문법과 자료형은 유지합니다. 기본키 컬럼 이름은 한글입니다.</t>
  </si>
  <si>
    <t>적용 전제</t>
  </si>
  <si>
    <t>원본의 MySQL 8.0.16 이상·신규 빈 스키마용 전제를 유지합니다. 기존 영문 테이블의 이름 변경·데이터 이전 SQL은 아닙니다.</t>
  </si>
  <si>
    <t>시간 기준</t>
  </si>
  <si>
    <t>DATETIME은 한국 시간(Asia/Seoul, UTC+9)으로 저장합니다. 알림 기준일·최근 자동검색 완료일도 한국 날짜입니다. 기본값 CURRENT_TIMESTAMP(6)가 KST로 들어가도록 DB 시간대를 Asia/Seoul로 고정합니다</t>
  </si>
  <si>
    <t>7일 추적</t>
  </si>
  <si>
    <t>알림을 받거나 후보를 확인해도 추적기간은 유지합니다. 자동 검색·만료·중복 제어는 서버 구현이 필요합니다.</t>
  </si>
  <si>
    <t>API 예약 컬럼</t>
  </si>
  <si>
    <t>습득 장소(fdPlace)·보관기관 연락처(tel)·상세 설명(uniq)은 일반·포털 상세 API에서 제공됩니다. 상세 호출 실패·미실행 또는 필드 누락 가능성 때문에 NULL 허용을 유지합니다.</t>
  </si>
  <si>
    <t>관계 주의</t>
  </si>
  <si>
    <t>후보와 메일이 같은 분실물 번호에 속하는지는 서버에서 검증합니다. 물리 삭제·보존기간은 이 SQL에서 확정하지 않았습니다.</t>
  </si>
  <si>
    <t>검증 결과</t>
  </si>
  <si>
    <t>테이블 목록 · 영문 ↔ 한글 대응</t>
  </si>
  <si>
    <t>기존 6개 테이블은 원본 SQL로 역치환해 이름 외 정의가 같은지 대조했습니다. 리프레시_토큰은 v2에서 새로 설계했습니다. 실제 DB 생성·ERDCloud 가져오기는 수행하지 않았습니다.</t>
  </si>
  <si>
    <t>기본키 · 외래키 · 고유키 · 인덱스</t>
  </si>
  <si>
    <t>ERD 관계 · 외래키 7개</t>
  </si>
  <si>
    <t>표기 안내</t>
  </si>
  <si>
    <t>NULL 허용 ‘예/아니오’, UK(복합)=조합 고유성, 기본값 ‘미지정’=DEFAULT 구문을 적지 않았다는 뜻입니다.</t>
  </si>
  <si>
    <t>원본 자료</t>
  </si>
  <si>
    <t>whereisit_schema_simple_v0_3.sql</t>
  </si>
  <si>
    <t>한글 SQL</t>
  </si>
  <si>
    <t>이름은 한글, 키 컬럼 조합과 순서는 원본 그대로</t>
  </si>
  <si>
    <t>whereisit_schema_ko_v0_3.sql</t>
  </si>
  <si>
    <t>v2 | 간소화 v0.3 + 리프레시_토큰, 실제 테이블명·컬럼명을 한글로 정의한 버전</t>
  </si>
  <si>
    <t>문서용 명세</t>
  </si>
  <si>
    <t>whereisit_table_spec_ko_v0_3.md</t>
  </si>
  <si>
    <t>부모 1 : 자식 0..N | 후보의 알림 번호는 NULL 허용</t>
  </si>
  <si>
    <t>출처: whereisit_schema_simple_v0_3.sql | v2에서 7번 리프레시_토큰 추가. 기존 6개 테이블 구조는 변경 없음.</t>
  </si>
  <si>
    <t>PRIMARY KEY는 SQL 문법 표기. 기본키 컬럼명은 한글로 변경. CHECK 제약은 04_상태_검사 참조.</t>
  </si>
  <si>
    <t>시트 구성</t>
  </si>
  <si>
    <t>1~6번은 원본 FK 그대로, 7번은 v2 추가. ON DELETE·ON UPDATE는 모두 별도 지정하지 않음.</t>
  </si>
  <si>
    <t>01_테이블목록: 테이블별 영문·한글 대응과 컬럼 수</t>
  </si>
  <si>
    <t>02_관계 / 03_키_인덱스: FK 연결과 실제 키·인덱스 정의</t>
  </si>
  <si>
    <t>04_상태_검사: 영문 저장값의 한국어 뜻과 CHECK 검사식</t>
  </si>
  <si>
    <t>순번</t>
  </si>
  <si>
    <t>05~11: 7개 테이블의 전체 컬럼 명세(영문 이름 포함)</t>
  </si>
  <si>
    <t>번호</t>
  </si>
  <si>
    <t>원본 SHA-256: c74c77ae89ec6d7ee0424c4fdd083f4cb065fa2f78d557873c5f125529490c36</t>
  </si>
  <si>
    <t>한글 테이블명</t>
  </si>
  <si>
    <t>한글 외래키명</t>
  </si>
  <si>
    <t>테이블</t>
  </si>
  <si>
    <t>기존 영문명</t>
  </si>
  <si>
    <t>종류</t>
  </si>
  <si>
    <t>자식 테이블</t>
  </si>
  <si>
    <t>저장 내용</t>
  </si>
  <si>
    <t>한글 이름</t>
  </si>
  <si>
    <t>자식 컬럼</t>
  </si>
  <si>
    <t>컬럼 수</t>
  </si>
  <si>
    <t>기존 영문 이름</t>
  </si>
  <si>
    <t>기본키 컬럼</t>
  </si>
  <si>
    <t>부모 테이블</t>
  </si>
  <si>
    <t>대상 컬럼(순서 유지)</t>
  </si>
  <si>
    <t>참조 대상</t>
  </si>
  <si>
    <t>부모 컬럼</t>
  </si>
  <si>
    <t>자식 NULL 허용</t>
  </si>
  <si>
    <t>관계 설명</t>
  </si>
  <si>
    <t>회원</t>
  </si>
  <si>
    <t>members</t>
  </si>
  <si>
    <t>기본키(PK)</t>
  </si>
  <si>
    <t>PRIMARY KEY</t>
  </si>
  <si>
    <t>외래키_분실물_회원</t>
  </si>
  <si>
    <t>PRIMARY</t>
  </si>
  <si>
    <t>분실물_검색_추적</t>
  </si>
  <si>
    <t>회원_번호</t>
  </si>
  <si>
    <t>—</t>
  </si>
  <si>
    <t>고유키(UK)</t>
  </si>
  <si>
    <t>아니오</t>
  </si>
  <si>
    <t>고유_회원_이메일</t>
  </si>
  <si>
    <t>회원 한 명의 분실물 검색·추적 여러 건</t>
  </si>
  <si>
    <t>uk_members_email</t>
  </si>
  <si>
    <t>이메일</t>
  </si>
  <si>
    <t>외래키_대화_분실물</t>
  </si>
  <si>
    <t>대화_메시지</t>
  </si>
  <si>
    <t>분실물_번호</t>
  </si>
  <si>
    <t>lost_items</t>
  </si>
  <si>
    <t>분실물 검색 및 7일 자동 추적</t>
  </si>
  <si>
    <t>분실물 한 건의 대화 메시지 여러 건</t>
  </si>
  <si>
    <t>일반 인덱스</t>
  </si>
  <si>
    <t>외래키_이메일_분실물</t>
  </si>
  <si>
    <t>인덱스_분실물_회원</t>
  </si>
  <si>
    <t>idx_lost_items_member</t>
  </si>
  <si>
    <t>이메일_알림</t>
  </si>
  <si>
    <t>회원_번호, 삭제_시각, 생성_시각</t>
  </si>
  <si>
    <t>chat_messages</t>
  </si>
  <si>
    <t>분실물별 대화 메시지</t>
  </si>
  <si>
    <t>인덱스_분실물_추적</t>
  </si>
  <si>
    <t>분실물 한 건의 이메일 알림 여러 건</t>
  </si>
  <si>
    <t>idx_lost_items_tracking</t>
  </si>
  <si>
    <t>메시지_번호</t>
  </si>
  <si>
    <t>검색_추적_상태, 삭제_시각, 추적_만료_시각, 최근_자동검색_완료일</t>
  </si>
  <si>
    <t>외래키_후보_분실물</t>
  </si>
  <si>
    <t>습득물</t>
  </si>
  <si>
    <t>found_items</t>
  </si>
  <si>
    <t>분실물_후보</t>
  </si>
  <si>
    <t>일반·포털기관 습득물 원본</t>
  </si>
  <si>
    <t>외래키(FK)</t>
  </si>
  <si>
    <t>fk_lost_items_member</t>
  </si>
  <si>
    <t>습득물_번호</t>
  </si>
  <si>
    <t>회원(회원_번호)</t>
  </si>
  <si>
    <t>분실물 한 건의 추천 후보 여러 건</t>
  </si>
  <si>
    <t>외래키_후보_습득물</t>
  </si>
  <si>
    <t>email_notifications</t>
  </si>
  <si>
    <t>신규 유사 후보 이메일 알림</t>
  </si>
  <si>
    <t>알림_번호</t>
  </si>
  <si>
    <t>습득물 한 건이 여러 분실물의 후보로 연결</t>
  </si>
  <si>
    <t>lost_item_candidates</t>
  </si>
  <si>
    <t>외래키_후보_알림</t>
  </si>
  <si>
    <t>분실물별 추천 후보와 알림 연결</t>
  </si>
  <si>
    <t>후보_번호</t>
  </si>
  <si>
    <t>인덱스_대화_분실물</t>
  </si>
  <si>
    <t>idx_chat_messages_item</t>
  </si>
  <si>
    <t>예</t>
  </si>
  <si>
    <t>분실물_번호, 메시지_번호</t>
  </si>
  <si>
    <t>메일 한 통에 여러 후보 연결; 미포함 후보는 알림 번호 NULL</t>
  </si>
  <si>
    <t>리프레시_토큰</t>
  </si>
  <si>
    <t>refresh_tokens</t>
  </si>
  <si>
    <t>외래키_토큰_회원</t>
  </si>
  <si>
    <t>로그인한 기기별 리프레시 토큰</t>
  </si>
  <si>
    <t>fk_chat_messages_lost_item</t>
  </si>
  <si>
    <t>분실물_검색_추적(분실물_번호)</t>
  </si>
  <si>
    <t>토큰_번호</t>
  </si>
  <si>
    <t>회원 한 명의 기기별 리프레시 토큰 여러 개</t>
  </si>
  <si>
    <t>고유_습득물_출처식별</t>
  </si>
  <si>
    <t>uk_found_items_source</t>
  </si>
  <si>
    <t>출처_구분, 외부_관리_번호, 외부_습득_순번</t>
  </si>
  <si>
    <t>고유_이메일_분실물_기준일</t>
  </si>
  <si>
    <t>uk_email_notifications_daily</t>
  </si>
  <si>
    <t>분실물_번호, 알림_기준일</t>
  </si>
  <si>
    <t>인덱스_이메일_상태</t>
  </si>
  <si>
    <t>idx_email_notifications_status</t>
  </si>
  <si>
    <t>발송_상태, 생성_시각</t>
  </si>
  <si>
    <t>fk_email_notifications_lost_item</t>
  </si>
  <si>
    <t>저장 코드값 · CHECK 제약</t>
  </si>
  <si>
    <t>코드값은 영문 유지; 한국어 뜻만 별도로 설명</t>
  </si>
  <si>
    <t>상태·구분값·기본값·조건식을 번역해 바꾸지 않음. 식별자만 한글로 치환.</t>
  </si>
  <si>
    <t>컬럼</t>
  </si>
  <si>
    <t>실제 저장값</t>
  </si>
  <si>
    <t>한국어 의미</t>
  </si>
  <si>
    <t>고유_후보_분실물_습득물</t>
  </si>
  <si>
    <t>uk_lost_item_candidates</t>
  </si>
  <si>
    <t>검색_추적_상태</t>
  </si>
  <si>
    <t>분실물_번호, 습득물_번호</t>
  </si>
  <si>
    <t>SEARCHING</t>
  </si>
  <si>
    <t>검색 중: 자동 추적은 아직 등록하지 않음</t>
  </si>
  <si>
    <t>TRACKING</t>
  </si>
  <si>
    <t>7일 자동 추적 진행 중</t>
  </si>
  <si>
    <t>인덱스_후보_현재결과</t>
  </si>
  <si>
    <t>idx_candidates_current</t>
  </si>
  <si>
    <t>EXPIRED</t>
  </si>
  <si>
    <t>분실물_번호, 현재_결과_여부, 추천_순위</t>
  </si>
  <si>
    <t>7일 추적기간 종료</t>
  </si>
  <si>
    <t>출처_구분</t>
  </si>
  <si>
    <t>POLICE</t>
  </si>
  <si>
    <t>일반 습득물 API 출처</t>
  </si>
  <si>
    <t>인덱스_후보_습득물</t>
  </si>
  <si>
    <t>idx_candidates_found_item</t>
  </si>
  <si>
    <t>PORTAL</t>
  </si>
  <si>
    <t>포털기관 습득물 API 출처</t>
  </si>
  <si>
    <t>인덱스_후보_알림</t>
  </si>
  <si>
    <t>idx_candidates_notification</t>
  </si>
  <si>
    <t>작성_주체</t>
  </si>
  <si>
    <t>USER</t>
  </si>
  <si>
    <t>사용자 메시지</t>
  </si>
  <si>
    <t>ASSISTANT</t>
  </si>
  <si>
    <t>fk_candidates_lost_item</t>
  </si>
  <si>
    <t>AI 응답 메시지</t>
  </si>
  <si>
    <t>발송_상태</t>
  </si>
  <si>
    <t>PENDING</t>
  </si>
  <si>
    <t>메일 전송 대기</t>
  </si>
  <si>
    <t>SENDING</t>
  </si>
  <si>
    <t>전송 시도 중</t>
  </si>
  <si>
    <t>fk_candidates_found_item</t>
  </si>
  <si>
    <t>SENT</t>
  </si>
  <si>
    <t>메일 제공자 접수 성공; 수신·열람 완료를 뜻하지 않음</t>
  </si>
  <si>
    <t>습득물(습득물_번호)</t>
  </si>
  <si>
    <t>FAILED</t>
  </si>
  <si>
    <t>발송 실패</t>
  </si>
  <si>
    <t>UNKNOWN</t>
  </si>
  <si>
    <t>fk_candidates_notification</t>
  </si>
  <si>
    <t>메일 제공자의 접수 여부 불명</t>
  </si>
  <si>
    <t>이메일_알림(알림_번호)</t>
  </si>
  <si>
    <t>CANCELLED</t>
  </si>
  <si>
    <t>미발송 알림 취소</t>
  </si>
  <si>
    <t>유사_후보_여부</t>
  </si>
  <si>
    <t>1</t>
  </si>
  <si>
    <t>유사 후보</t>
  </si>
  <si>
    <t>0</t>
  </si>
  <si>
    <t>비유사</t>
  </si>
  <si>
    <t>테이블 명세 | 회원</t>
  </si>
  <si>
    <t>NULL</t>
  </si>
  <si>
    <t>미평가</t>
  </si>
  <si>
    <t>기존 이름: members   ·   회원</t>
  </si>
  <si>
    <t>현재_결과_여부</t>
  </si>
  <si>
    <t>기준: whereisit_schema_simple_v0_3.sql | 이름만 한글화; 타입·기본값·관계 유지. 실제 DB 실행 미검증.</t>
  </si>
  <si>
    <t>최근 성공한 검색 결과에 포함</t>
  </si>
  <si>
    <t>고유토큰해시</t>
  </si>
  <si>
    <t>uk_refresh_tokens_token_hash</t>
  </si>
  <si>
    <t>PK=기본키 · FK=외래키 · UK(복합)=조합 고유키 · 미지정=DEFAULT 구문 없음</t>
  </si>
  <si>
    <t>현재 결과에서 제외</t>
  </si>
  <si>
    <t>토큰_해시</t>
  </si>
  <si>
    <t>추적전_확인_후보_여부</t>
  </si>
  <si>
    <t>한글 컬럼명</t>
  </si>
  <si>
    <t>추적 등록 전에 이미 보여준 후보</t>
  </si>
  <si>
    <t>기존 영문 컬럼명</t>
  </si>
  <si>
    <t>인덱스토큰회원</t>
  </si>
  <si>
    <t>자료형</t>
  </si>
  <si>
    <t>idx_refresh_tokens_member</t>
  </si>
  <si>
    <t>기준 후보로 표시되지 않음</t>
  </si>
  <si>
    <t>키</t>
  </si>
  <si>
    <t>회원 번호, 만료시각</t>
  </si>
  <si>
    <t>NULL 허용</t>
  </si>
  <si>
    <t>기본값</t>
  </si>
  <si>
    <t>CHECK 제약 8개 · 원본 검사식을 유지하고 참조 컬럼 이름만 한글화</t>
  </si>
  <si>
    <t>자동증가</t>
  </si>
  <si>
    <t>설명(원본)</t>
  </si>
  <si>
    <t>한글 제약명</t>
  </si>
  <si>
    <t>검사식</t>
  </si>
  <si>
    <t>외래키토큰회원</t>
  </si>
  <si>
    <t>추가 속성</t>
  </si>
  <si>
    <t>fk_refresh_tokens_member</t>
  </si>
  <si>
    <t>검사_분실물_상태</t>
  </si>
  <si>
    <t>테이블 명세 | 분실물_검색_추적</t>
  </si>
  <si>
    <t>(`검색_추적_상태` IN ('SEARCHING', 'TRACKING', 'EXPIRED'))</t>
  </si>
  <si>
    <t>검사_분실물_분실기간</t>
  </si>
  <si>
    <t>(`분실_기간_시작일` IS NULL OR `분실_기간_종료일` IS NULL OR `분실_기간_시작일` &lt;= `분실_기간_종료일`)</t>
  </si>
  <si>
    <t>member_id</t>
  </si>
  <si>
    <t>검사_분실물_추적기간</t>
  </si>
  <si>
    <t>( (`검색_추적_상태` = 'SEARCHING' AND `추적_시작_시각` IS NULL AND `추적_만료_시각` IS NULL) OR (`검색_추적_상태` IN ('TRACKING', 'EXPIRED') AND `추적_시작_시각` IS NOT NULL AND `추적_만료_시각` IS NOT NULL AND `추적_만료_시각` = DATE_ADD(`추적_시작_시각`, INTERVAL 7 DAY) AND `알림_이메일` IS NOT NULL AND `습득물_조회_시작일` IS NOT NULL) )</t>
  </si>
  <si>
    <t>기존 이름: lost_items   ·   분실물 검색 및 7일 자동 추적</t>
  </si>
  <si>
    <t>검사_대화_작성주체</t>
  </si>
  <si>
    <t>(`작성_주체` IN ('USER', 'ASSISTANT'))</t>
  </si>
  <si>
    <t>BIGINT UNSIGNED</t>
  </si>
  <si>
    <t>PK</t>
  </si>
  <si>
    <t>검사_습득물_출처</t>
  </si>
  <si>
    <t>(`출처_구분` IN ('POLICE', 'PORTAL'))</t>
  </si>
  <si>
    <t>검사_이메일_상태</t>
  </si>
  <si>
    <t>(`발송_상태` IN ('PENDING', 'SENDING', 'SENT', 'FAILED', 'UNKNOWN', 'CANCELLED'))</t>
  </si>
  <si>
    <t>미지정</t>
  </si>
  <si>
    <t>검사_후보_순위</t>
  </si>
  <si>
    <t>(`추천_순위` IS NULL OR `추천_순위` &gt;= 1)</t>
  </si>
  <si>
    <t>검사_후보_여부값</t>
  </si>
  <si>
    <t>((`유사_후보_여부` IS NULL OR `유사_후보_여부` IN (0, 1)) AND `현재_결과_여부` IN (0, 1) AND `추적전_확인_후보_여부` IN (0, 1))</t>
  </si>
  <si>
    <t>회원 ID</t>
  </si>
  <si>
    <t>email</t>
  </si>
  <si>
    <t>VARCHAR(254)</t>
  </si>
  <si>
    <t>UK</t>
  </si>
  <si>
    <t>로그인 이메일</t>
  </si>
  <si>
    <t>비밀번호_해시</t>
  </si>
  <si>
    <t>password_hash</t>
  </si>
  <si>
    <t>VARCHAR(255)</t>
  </si>
  <si>
    <t>lost_item_id</t>
  </si>
  <si>
    <t>비밀번호 해시</t>
  </si>
  <si>
    <t>사용_언어_코드</t>
  </si>
  <si>
    <t>language_code</t>
  </si>
  <si>
    <t>VARCHAR(35)</t>
  </si>
  <si>
    <t>분실물 검색·추적 ID</t>
  </si>
  <si>
    <t>사용자가 선택한 지원 언어</t>
  </si>
  <si>
    <t>FK</t>
  </si>
  <si>
    <t>가입_시각</t>
  </si>
  <si>
    <t>created_at</t>
  </si>
  <si>
    <t>회원.회원_번호</t>
  </si>
  <si>
    <t>DATETIME(6)</t>
  </si>
  <si>
    <t>소유 회원 ID</t>
  </si>
  <si>
    <t>분실물_설명</t>
  </si>
  <si>
    <t>CURRENT_TIMESTAMP(6)</t>
  </si>
  <si>
    <t>description</t>
  </si>
  <si>
    <t>TEXT</t>
  </si>
  <si>
    <t>가입 시각</t>
  </si>
  <si>
    <t>현재 분실물 설명</t>
  </si>
  <si>
    <t>수정_시각</t>
  </si>
  <si>
    <t>updated_at</t>
  </si>
  <si>
    <t>수정 시각</t>
  </si>
  <si>
    <t>ON UPDATE CURRENT_TIMESTAMP(6)</t>
  </si>
  <si>
    <t>검색 결과·알림 언어</t>
  </si>
  <si>
    <t>회원가입·로그인에 사용하는 이메일, 비밀번호 해시, 지원 언어를 보관합니다.</t>
  </si>
  <si>
    <t>물품_대분류_코드</t>
  </si>
  <si>
    <t>category_large_code</t>
  </si>
  <si>
    <t>VARCHAR(6)</t>
  </si>
  <si>
    <t>공통 검색조건: 대분류</t>
  </si>
  <si>
    <t>물품_중분류_코드</t>
  </si>
  <si>
    <t>category_middle_code</t>
  </si>
  <si>
    <t>공통 검색조건: 중분류</t>
  </si>
  <si>
    <t>색상_코드</t>
  </si>
  <si>
    <t>color_code</t>
  </si>
  <si>
    <t>VARCHAR(8)</t>
  </si>
  <si>
    <t>공통 검색조건: 색상</t>
  </si>
  <si>
    <t>지역_코드</t>
  </si>
  <si>
    <t>region_code</t>
  </si>
  <si>
    <t>공통 검색조건: 지역</t>
  </si>
  <si>
    <t>분실_기간_시작일</t>
  </si>
  <si>
    <t>lost_date_from</t>
  </si>
  <si>
    <t>DATE</t>
  </si>
  <si>
    <t>사용자가 기억하는 분실 기간 시작일</t>
  </si>
  <si>
    <t>분실_기간_종료일</t>
  </si>
  <si>
    <t>lost_date_to</t>
  </si>
  <si>
    <t>테이블 명세 | 대화_메시지</t>
  </si>
  <si>
    <t>기존 이름: chat_messages   ·   분실물별 대화 메시지</t>
  </si>
  <si>
    <t>사용자가 기억하는 분실 기간 종료일</t>
  </si>
  <si>
    <t>분실_장소_설명</t>
  </si>
  <si>
    <t>lost_place_text</t>
  </si>
  <si>
    <t>사용자가 설명한 분실 장소</t>
  </si>
  <si>
    <t>테이블 명세 | 습득물</t>
  </si>
  <si>
    <t>습득물_조회_시작일</t>
  </si>
  <si>
    <t>기존 이름: found_items   ·   일반·포털기관 습득물 원본</t>
  </si>
  <si>
    <t>search_start_date</t>
  </si>
  <si>
    <t>message_id</t>
  </si>
  <si>
    <t>자동 조회할 습득일 범위의 시작일</t>
  </si>
  <si>
    <t>메시지 ID</t>
  </si>
  <si>
    <t>알림_이메일</t>
  </si>
  <si>
    <t>notification_email</t>
  </si>
  <si>
    <t>분실물_검색_추적.분실물_번호</t>
  </si>
  <si>
    <t>추적 등록 시 확정할 알림 수신 이메일</t>
  </si>
  <si>
    <t>대화 대상 분실물 ID</t>
  </si>
  <si>
    <t>role</t>
  </si>
  <si>
    <t>status</t>
  </si>
  <si>
    <t>VARCHAR(16)</t>
  </si>
  <si>
    <t>found_item_id</t>
  </si>
  <si>
    <t>'SEARCHING'</t>
  </si>
  <si>
    <t>USER / ASSISTANT</t>
  </si>
  <si>
    <t>COLLATE utf8mb4_bin</t>
  </si>
  <si>
    <t>SEARCHING / TRACKING / EXPIRED</t>
  </si>
  <si>
    <t>메시지_내용</t>
  </si>
  <si>
    <t>content</t>
  </si>
  <si>
    <t>추적_시작_시각</t>
  </si>
  <si>
    <t>내부 습득물 ID</t>
  </si>
  <si>
    <t>started_at</t>
  </si>
  <si>
    <t>사용자 입력 또는 AI 응답</t>
  </si>
  <si>
    <t>source_type</t>
  </si>
  <si>
    <t>작성_시각</t>
  </si>
  <si>
    <t>UK(복합)</t>
  </si>
  <si>
    <t>자동 추적 등록 시각</t>
  </si>
  <si>
    <t>추적_만료_시각</t>
  </si>
  <si>
    <t>POLICE / PORTAL</t>
  </si>
  <si>
    <t>expires_at</t>
  </si>
  <si>
    <t>작성 시각</t>
  </si>
  <si>
    <t>외부_관리_번호</t>
  </si>
  <si>
    <t>atc_id</t>
  </si>
  <si>
    <t>VARCHAR(32)</t>
  </si>
  <si>
    <t>분실물 검색 건에 사용자·AI 메시지를 연결합니다. 별도 대화 테이블을 추가하지 않습니다.</t>
  </si>
  <si>
    <t>추적 등록 시각 + 7일</t>
  </si>
  <si>
    <t>외부 관리 ID</t>
  </si>
  <si>
    <t>최근_자동검색_완료일</t>
  </si>
  <si>
    <t>last_auto_search_date</t>
  </si>
  <si>
    <t>외부_습득_순번</t>
  </si>
  <si>
    <t>fd_sn</t>
  </si>
  <si>
    <t>VARCHAR(10)</t>
  </si>
  <si>
    <t>최근 정상 완료한 자동 검색일: 한국 날짜</t>
  </si>
  <si>
    <t>외부 습득순번: 문자열 보존</t>
  </si>
  <si>
    <t>삭제_시각</t>
  </si>
  <si>
    <t>물품명</t>
  </si>
  <si>
    <t>deleted_at</t>
  </si>
  <si>
    <t>product_name</t>
  </si>
  <si>
    <t>VARCHAR(200)</t>
  </si>
  <si>
    <t>사용자 삭제 시각: 논리 삭제</t>
  </si>
  <si>
    <t>게시_제목</t>
  </si>
  <si>
    <t>생성_시각</t>
  </si>
  <si>
    <t>subject</t>
  </si>
  <si>
    <t>VARCHAR(300)</t>
  </si>
  <si>
    <t>검색 건 생성 시각</t>
  </si>
  <si>
    <t>게시 제목</t>
  </si>
  <si>
    <t>분류명</t>
  </si>
  <si>
    <t>category_name</t>
  </si>
  <si>
    <t>VARCHAR(100)</t>
  </si>
  <si>
    <t>분류명 원문</t>
  </si>
  <si>
    <t>대화형 검색과 자동 추적을 한 기록에서 관리합니다. 추적 신청 시각부터 7일이며 조건 수정으로 기간을 연장하지 않습니다.</t>
  </si>
  <si>
    <t>색상명</t>
  </si>
  <si>
    <t>color_name</t>
  </si>
  <si>
    <t>테이블 명세 | 이메일_알림</t>
  </si>
  <si>
    <t>기존 이름: email_notifications   ·   신규 유사 후보 이메일 알림</t>
  </si>
  <si>
    <t>색상명 원문</t>
  </si>
  <si>
    <t>습득일</t>
  </si>
  <si>
    <t>found_date</t>
  </si>
  <si>
    <t>notification_id</t>
  </si>
  <si>
    <t>습득일: 분실일과 구분</t>
  </si>
  <si>
    <t>메일 묶음 ID</t>
  </si>
  <si>
    <t>보관_장소</t>
  </si>
  <si>
    <t>storage_place</t>
  </si>
  <si>
    <t>FK / UK(복합)</t>
  </si>
  <si>
    <t>알림 대상 분실물 ID</t>
  </si>
  <si>
    <t>알림_기준일</t>
  </si>
  <si>
    <t>보관장소 원문</t>
  </si>
  <si>
    <t>notification_date</t>
  </si>
  <si>
    <t>사진_주소</t>
  </si>
  <si>
    <t>image_url</t>
  </si>
  <si>
    <t>VARCHAR(2048)</t>
  </si>
  <si>
    <t>일일 메일 묶음 기준일: 한국 날짜</t>
  </si>
  <si>
    <t>수신_이메일</t>
  </si>
  <si>
    <t>API가 제공한 사진 URL</t>
  </si>
  <si>
    <t>recipient_email</t>
  </si>
  <si>
    <t>습득_장소</t>
  </si>
  <si>
    <t>found_place</t>
  </si>
  <si>
    <t>확정된 수신 이메일</t>
  </si>
  <si>
    <t>fdPlace → found_place: 일반·포털 상세 API 제공; 상세조회 성공 시 저장; NULL 허용</t>
  </si>
  <si>
    <t>보관기관_연락처</t>
  </si>
  <si>
    <t>storage_phone</t>
  </si>
  <si>
    <t>VARCHAR(40)</t>
  </si>
  <si>
    <t>메일 언어</t>
  </si>
  <si>
    <t>메일_제목</t>
  </si>
  <si>
    <t>tel → storage_phone: 일반·포털 상세 API 제공; 상세조회 성공 시 저장; NULL 허용</t>
  </si>
  <si>
    <t>상세_설명</t>
  </si>
  <si>
    <t>확정된 메일 제목</t>
  </si>
  <si>
    <t>메일_본문</t>
  </si>
  <si>
    <t>body</t>
  </si>
  <si>
    <t>uniq → description: 특이사항 또는 상세 텍스트; 일반·포털 상세 API 제공; 상세조회 성공 시 저장; NULL 허용</t>
  </si>
  <si>
    <t>상세_조회_시각</t>
  </si>
  <si>
    <t>detail_fetched_at</t>
  </si>
  <si>
    <t>후보 n건 안내 본문</t>
  </si>
  <si>
    <t>상세 조회 성공 시각</t>
  </si>
  <si>
    <t>'PENDING'</t>
  </si>
  <si>
    <t>최초_수집_시각</t>
  </si>
  <si>
    <t>first_fetched_at</t>
  </si>
  <si>
    <t>PENDING / SENDING / SENT / FAILED / UNKNOWN / CANCELLED</t>
  </si>
  <si>
    <t>발송_시도_횟수</t>
  </si>
  <si>
    <t>attempt_count</t>
  </si>
  <si>
    <t>테이블 명세 | 분실물_후보</t>
  </si>
  <si>
    <t>우리 서비스의 최초 수집 시각</t>
  </si>
  <si>
    <t>INT UNSIGNED</t>
  </si>
  <si>
    <t>기존 이름: lost_item_candidates   ·   분실물별 추천 후보와 알림 연결</t>
  </si>
  <si>
    <t>최근_수집_시각</t>
  </si>
  <si>
    <t>last_fetched_at</t>
  </si>
  <si>
    <t>발송 시도 횟수</t>
  </si>
  <si>
    <t>오류_코드</t>
  </si>
  <si>
    <t>우리 서비스의 최근 수집 시각</t>
  </si>
  <si>
    <t>error_code</t>
  </si>
  <si>
    <t>VARCHAR(64)</t>
  </si>
  <si>
    <t>일반·포털기관 API 원본을 (source_type, atc_id, fd_sn) 외부 중복 식별자로 구분합니다. 상세조회 필드 매핑은 확인됐지만 상세 호출 실패·미실행 또는 필드 누락 가능성 때문에 상세 컬럼은 선택(NULL 허용)으로 유지합니다.</t>
  </si>
  <si>
    <t>민감정보를 제외한 발송 오류 코드</t>
  </si>
  <si>
    <t>발송_접수_시각</t>
  </si>
  <si>
    <t>sent_at</t>
  </si>
  <si>
    <t>candidate_id</t>
  </si>
  <si>
    <t>메일 제공자 접수 성공 시각: 수신·열람 보장 아님</t>
  </si>
  <si>
    <t>분실물별 후보 ID</t>
  </si>
  <si>
    <t>생성 시각</t>
  </si>
  <si>
    <t>사용자 분실물 ID</t>
  </si>
  <si>
    <t>습득물.습득물_번호</t>
  </si>
  <si>
    <t>실제 조회한 습득물 ID</t>
  </si>
  <si>
    <t>한 분실물의 하루 신규 후보들을 메일 한 건으로 묶습니다. 발송 상태와 실제 수신·열람은 구분합니다.</t>
  </si>
  <si>
    <t>추천_순위</t>
  </si>
  <si>
    <t>rank_no</t>
  </si>
  <si>
    <t>최근 검색의 추천 순위</t>
  </si>
  <si>
    <t>추천_이유</t>
  </si>
  <si>
    <t>recommendation_reason</t>
  </si>
  <si>
    <t>테이블 명세 | 리프레시토큰</t>
  </si>
  <si>
    <t>영문 이름: refresh_tokens · 로그인한 기기별 리프레시 토큰</t>
  </si>
  <si>
    <t>기준: v2 신규(회원 도메인, API 명세 v2) | 실제 DB 실행 미검증.</t>
  </si>
  <si>
    <t>사용자 언어로 작성한 추천 이유</t>
  </si>
  <si>
    <t>is_similar</t>
  </si>
  <si>
    <t>TINYINT UNSIGNED</t>
  </si>
  <si>
    <t>1: 유사 후보, 0: 비유사, NULL: 미평가</t>
  </si>
  <si>
    <t>is_current</t>
  </si>
  <si>
    <t>refresh_token_id</t>
  </si>
  <si>
    <t>최근 성공한 검색 결과에 포함되면 1</t>
  </si>
  <si>
    <t>is_baseline</t>
  </si>
  <si>
    <t>리프레시 토큰 행 ID</t>
  </si>
  <si>
    <t>추적 등록 전에 이미 보여준 후보면 1</t>
  </si>
  <si>
    <t>이메일_알림.알림_번호</t>
  </si>
  <si>
    <t>이 후보를 포함한 메일 묶음 ID</t>
  </si>
  <si>
    <t>토큰을 발급받은 회원 ID</t>
  </si>
  <si>
    <t>최초_확인_시각</t>
  </si>
  <si>
    <t>first_seen_at</t>
  </si>
  <si>
    <t>token_hash</t>
  </si>
  <si>
    <t>이 분실물에서 최초 확인</t>
  </si>
  <si>
    <t>토큰 원문의 SHA-256 해시(16진수 64자). 원문은 저장하지 않음</t>
  </si>
  <si>
    <t>최근_확인_시각</t>
  </si>
  <si>
    <t>last_seen_at</t>
  </si>
  <si>
    <t>만료_시각</t>
  </si>
  <si>
    <t>이 분실물에서 최근 확인</t>
  </si>
  <si>
    <t>발급 시각 + 14일</t>
  </si>
  <si>
    <t>분실물별 최근 추천 결과와 기준 후보·메일 연결을 보관합니다. 모든 과거 검색 순위를 저장하는 구조는 아닙니다.</t>
  </si>
  <si>
    <t>발급_시각</t>
  </si>
  <si>
    <t>토큰 발급 시각</t>
  </si>
  <si>
    <t>로그인할 때마다 한 행을 추가합니다(기기별 세션). refresh하면 쓴 행을 지우고 새 행을 넣고(회전), 로그아웃하면 그 행을 지웁니다. 만료된 행은 로그인·refresh 때 해당 회원 것을 지웁니다. 원문 토큰은 저장하지 않습니다.</t>
  </si>
  <si>
    <t>어디갔지 | 테이블 명세서 v2.1</t>
  </si>
  <si>
    <t>v2.1 · 한글 논리명 + 영문 물리명 · MySQL 구현 기준</t>
  </si>
  <si>
    <t>간소화안 v0.3과 회원 도메인(API 명세 v2.1)을 반영 · 2026-09-26 · 실제 MySQL / ERDCloud 실행 미검증</t>
  </si>
  <si>
    <t>업무 용어와 ERD는 한글 논리명을 사용하고, 실제 MySQL CREATE TABLE·컬럼·키·제약조건·인덱스는 소문자 영문 snake_case 물리명을 사용합니다.</t>
  </si>
  <si>
    <t>PRIMARY KEY · FOREIGN KEY · UNIQUE · INDEX · CHECK 이름은 각각 pk_ · fk_ · uk_ · idx_ · chk_ 접두어의 소문자 영문 snake_case를 사용합니다.</t>
  </si>
  <si>
    <t>원본의 MySQL 8.0.16 이상·신규 빈 스키마용 전제를 유지합니다. 기존 한글 식별자 SQL은 원본 자료와 참고 이력이며 최종 구현 기준은 이 문서의 영문 물리명입니다.</t>
  </si>
  <si>
    <t>기존 6개 테이블은 원본 SQL과 이름 외 정의가 같은지 대조했습니다. 리프레시_토큰은 v2에서 새로 설계했습니다. 실제 DB 생성·ERDCloud 가져오기는 수행하지 않았습니다.</t>
  </si>
  <si>
    <t>한글은 논리명·설명·COMMENT에 사용합니다. Java 클래스는 PascalCase, Java 필드와 API JSON은 camelCase, Enum 값은 UPPER_SNAKE_CASE를 사용합니다. NULL 허용 ‘예/아니오’와 기본값 ‘미지정’은 기존 뜻을 유지합니다.</t>
  </si>
  <si>
    <t>참고 한글 SQL</t>
  </si>
  <si>
    <t>참고 문서용 명세</t>
  </si>
  <si>
    <t>01_테이블목록: 한글 논리 테이블명·영문 물리 테이블명과 컬럼 수</t>
  </si>
  <si>
    <t>02_관계: 한글 논리 관계 / 03_키_인덱스: 영문 물리 FK·키·인덱스 정의</t>
  </si>
  <si>
    <t>04_상태_검사: 영문 저장값의 한국어 뜻과 영문 물리 CHECK 이름·검사식</t>
  </si>
  <si>
    <t>05~11: 7개 테이블의 한글 논리명·영문 물리명 전체 컬럼 명세</t>
  </si>
  <si>
    <t>테이블 목록 · 논리명 ↔ 물리명 대응</t>
  </si>
  <si>
    <t>v2 | 한글 논리 테이블명과 소문자 영문 snake_case MySQL 물리 테이블명을 함께 제공</t>
  </si>
  <si>
    <t>한글 논리 테이블명</t>
  </si>
  <si>
    <t>MySQL 물리 테이블명</t>
  </si>
  <si>
    <t>PK 물리 컬럼</t>
  </si>
  <si>
    <t>ERD 논리 관계 · 외래키 7개</t>
  </si>
  <si>
    <t>한글 테이블·컬럼 값은 ERD 논리명 | 부모 1 : 자식 0..N | 후보의 알림 번호는 NULL 허용</t>
  </si>
  <si>
    <t>관계 데이터는 한글 논리명으로 표시합니다. 실제 FK 물리명과 영문 참조는 03_키_인덱스와 각 테이블 시트를 따릅니다.</t>
  </si>
  <si>
    <t>한글 FK 논리명</t>
  </si>
  <si>
    <t>자식 논리 테이블</t>
  </si>
  <si>
    <t>자식 논리 컬럼</t>
  </si>
  <si>
    <t>부모 논리 테이블</t>
  </si>
  <si>
    <t>부모 논리 컬럼</t>
  </si>
  <si>
    <t>한글 이름은 논리명, 영문 이름·대상 컬럼·참조 대상은 실제 MySQL 물리명</t>
  </si>
  <si>
    <t>PK·FK·UK·INDEX는 영문 접두어와 소문자 snake_case를 사용합니다. CHECK 제약은 04_상태_검사를 참조합니다.</t>
  </si>
  <si>
    <t>한글 논리명</t>
  </si>
  <si>
    <t>영문 물리명</t>
  </si>
  <si>
    <t>대상 영문 물리 컬럼(순서 유지)</t>
  </si>
  <si>
    <t>참조 영문 물리 table(column)</t>
  </si>
  <si>
    <t>pk_members</t>
  </si>
  <si>
    <t>pk_lost_items</t>
  </si>
  <si>
    <t>pk_chat_messages</t>
  </si>
  <si>
    <t>pk_found_items</t>
  </si>
  <si>
    <t>pk_email_notifications</t>
  </si>
  <si>
    <t>pk_lost_item_candidates</t>
  </si>
  <si>
    <t>pk_refresh_tokens</t>
  </si>
  <si>
    <t>member_id, deleted_at, created_at</t>
  </si>
  <si>
    <t>status, deleted_at, expires_at, last_auto_search_date</t>
  </si>
  <si>
    <t>lost_item_id, message_id</t>
  </si>
  <si>
    <t>source_type, atc_id, fd_sn</t>
  </si>
  <si>
    <t>lost_item_id, notification_date</t>
  </si>
  <si>
    <t>status, created_at</t>
  </si>
  <si>
    <t>lost_item_id, found_item_id</t>
  </si>
  <si>
    <t>lost_item_id, is_current, rank_no</t>
  </si>
  <si>
    <t>member_id, expires_at</t>
  </si>
  <si>
    <t>members(member_id)</t>
  </si>
  <si>
    <t>lost_items(lost_item_id)</t>
  </si>
  <si>
    <t>found_items(found_item_id)</t>
  </si>
  <si>
    <t>email_notifications(notification_id)</t>
  </si>
  <si>
    <t>상태·구분값·기본값·업무 조건은 유지합니다. CHECK 물리명과 검사식 컬럼은 소문자 영문 snake_case를 사용합니다.</t>
  </si>
  <si>
    <t>한글 논리 테이블</t>
  </si>
  <si>
    <t>한글 논리 컬럼</t>
  </si>
  <si>
    <t>CHECK 제약 8개 · 업무 규칙은 유지하고 영문 물리 제약명과 영문 물리 컬럼으로 표기</t>
  </si>
  <si>
    <t>영문 물리 CHECK 이름</t>
  </si>
  <si>
    <t>영문 물리 컬럼 검사식</t>
  </si>
  <si>
    <t>chk_lost_items_tracking_status</t>
  </si>
  <si>
    <t>(`status` IN ('SEARCHING', 'TRACKING', 'EXPIRED'))</t>
  </si>
  <si>
    <t>chk_lost_items_lost_date_range</t>
  </si>
  <si>
    <t>(`lost_date_from` IS NULL OR `lost_date_to` IS NULL OR `lost_date_from` &lt;= `lost_date_to`)</t>
  </si>
  <si>
    <t>chk_lost_items_tracking_period</t>
  </si>
  <si>
    <t>( (`status` = 'SEARCHING' AND `started_at` IS NULL AND `expires_at` IS NULL) OR (`status` IN ('TRACKING', 'EXPIRED') AND `started_at` IS NOT NULL AND `expires_at` IS NOT NULL AND `expires_at` = DATE_ADD(`started_at`, INTERVAL 7 DAY) AND `notification_email` IS NOT NULL AND `search_start_date` IS NOT NULL) )</t>
  </si>
  <si>
    <t>chk_chat_messages_role</t>
  </si>
  <si>
    <t>(`role` IN ('USER', 'ASSISTANT'))</t>
  </si>
  <si>
    <t>chk_found_items_source_type</t>
  </si>
  <si>
    <t>(`source_type` IN ('POLICE', 'PORTAL'))</t>
  </si>
  <si>
    <t>chk_email_notifications_delivery_status</t>
  </si>
  <si>
    <t>(`status` IN ('PENDING', 'SENDING', 'SENT', 'FAILED', 'UNKNOWN', 'CANCELLED'))</t>
  </si>
  <si>
    <t>chk_lost_item_candidates_rank</t>
  </si>
  <si>
    <t>(`rank_no` IS NULL OR `rank_no` &gt;= 1)</t>
  </si>
  <si>
    <t>chk_lost_item_candidates_flags</t>
  </si>
  <si>
    <t>((`is_similar` IS NULL OR `is_similar` IN (0, 1)) AND `is_current` IN (0, 1) AND `is_baseline` IN (0, 1))</t>
  </si>
  <si>
    <t>영문 물리명: members · 회원</t>
  </si>
  <si>
    <t>기준: whereisit_schema_simple_v0_3.sql | 한글은 논리명·설명, 영문 이름은 MySQL 물리명. 타입·기본값·관계 유지. 실제 DB 실행 미검증.</t>
  </si>
  <si>
    <t>한글 논리 컬럼명</t>
  </si>
  <si>
    <t>영문 물리 컬럼명</t>
  </si>
  <si>
    <t>FK 물리 참조 대상</t>
  </si>
  <si>
    <t>영문 물리명: lost_items · 사용자가 등록한 분실물 검색 및 7일 추적 건</t>
  </si>
  <si>
    <t>영문 물리명: chat_messages · 분실물별 대화 메시지</t>
  </si>
  <si>
    <t>영문 물리명: found_items · 경찰청 등 외부 API에서 조회하거나 수집한 습득물</t>
  </si>
  <si>
    <t>영문 물리명: email_notifications · 신규 유사 후보 이메일 알림</t>
  </si>
  <si>
    <t>영문 물리명: lost_item_candidates · 분실물별 추천 후보와 알림 연결</t>
  </si>
  <si>
    <t>테이블 명세 | 리프레시_토큰</t>
  </si>
  <si>
    <t>영문 물리명: refresh_tokens · 로그인한 기기별 리프레시 토큰</t>
  </si>
  <si>
    <t>기준: v2 신규(회원 도메인, API 명세 v2) | 한글은 논리명·설명, 영문 이름은 MySQL 물리명. 실제 DB 실행 미검증.</t>
  </si>
  <si>
    <t>물품명_검색어</t>
  </si>
  <si>
    <t>product_name_keyword</t>
  </si>
  <si>
    <t>API-05에서 AI가 구조화한 포털기관 물품명 검색어(PRDT_NM). 추적 재검색 매칭과 API-16 물품 종류 표시값(itemTypeName)에 사용</t>
  </si>
  <si>
    <t>Issue #85 Entity로 추가(기준 SQL 이후). Issue #99 API-16 itemTypeName</t>
  </si>
  <si>
    <t>보관장소_검색어</t>
  </si>
  <si>
    <t>storage_place_keyword</t>
  </si>
  <si>
    <t>API-05에서 AI가 구조화한 포털기관 보관장소 검색어(DEP_PLACE). 분실 장소(lost_place_text)와 다름</t>
  </si>
  <si>
    <t>Issue #85 Entity로 추가(기준 SQL 이후)</t>
  </si>
  <si>
    <t>표시_색상명</t>
  </si>
  <si>
    <t>사용자가 등록한 분실물의 표시용 색상명(예: 검정). API-05에서 AI가 사용자가 명시한 색상만 저장하고 없거나 모호하면 NULL. 공식 color_code와 다르며 API-16 colorName으로 표시</t>
  </si>
  <si>
    <t>Issue #99 Entity로 추가(Migration 없음). 기존 행 backfill 없음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</si>
</sst>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rgb="FF243342"/>
      <name val="Carlito"/>
    </font>
    <font>
      <sz val="11.0"/>
      <color rgb="FF637180"/>
      <name val="Carlito"/>
    </font>
    <font>
      <b/>
      <sz val="11.0"/>
      <color rgb="FF7D2444"/>
      <name val="Carlito"/>
    </font>
    <font>
      <color theme="1"/>
      <name val="Carlito"/>
      <scheme val="minor"/>
    </font>
    <font>
      <b/>
      <sz val="11.0"/>
      <color rgb="FF1C5B40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83244"/>
        <bgColor rgb="FF183244"/>
      </patternFill>
    </fill>
    <fill>
      <patternFill patternType="solid">
        <fgColor rgb="FFF8F1F4"/>
        <bgColor rgb="FFF8F1F4"/>
      </patternFill>
    </fill>
    <fill>
      <patternFill patternType="solid">
        <fgColor rgb="FF7D2444"/>
        <bgColor rgb="FF7D2444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9F4EE"/>
        <bgColor rgb="FFE9F4EE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6" fontId="4" numFmtId="0" xfId="0" applyAlignment="1" applyFill="1" applyFont="1">
      <alignment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5" fontId="2" numFmtId="0" xfId="0" applyAlignment="1" applyFill="1" applyFont="1">
      <alignment shrinkToFit="0" vertical="center" wrapText="1"/>
    </xf>
    <xf borderId="0" fillId="6" fontId="2" numFmtId="0" xfId="0" applyAlignment="1" applyFill="1" applyFont="1">
      <alignment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shrinkToFit="0" vertical="center" wrapText="1"/>
    </xf>
    <xf borderId="0" fillId="5" fontId="2" numFmtId="0" xfId="0" applyAlignment="1" applyFill="1" applyFont="1">
      <alignment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7" fontId="2" numFmtId="0" xfId="0" applyAlignment="1" applyFill="1" applyFont="1">
      <alignment readingOrder="0" shrinkToFit="0" vertical="center" wrapText="1"/>
    </xf>
    <xf borderId="0" fillId="7" fontId="5" numFmtId="0" xfId="0" applyAlignment="1" applyFill="1" applyFont="1">
      <alignment readingOrder="0" shrinkToFit="0" vertical="center" wrapText="0"/>
    </xf>
    <xf borderId="0" fillId="7" fontId="2" numFmtId="0" xfId="0" applyAlignment="1" applyFill="1" applyFont="1">
      <alignment horizontal="center" shrinkToFit="0" vertical="center" wrapText="1"/>
    </xf>
    <xf borderId="0" fillId="7" fontId="2" numFmtId="0" xfId="0" applyAlignment="1" applyFill="1" applyFont="1">
      <alignment horizontal="left"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5" fontId="2" numFmtId="0" xfId="0" applyAlignment="1" applyFill="1" applyFont="1">
      <alignment readingOrder="0" shrinkToFit="0" vertical="center" wrapText="1"/>
    </xf>
    <xf borderId="0" fillId="5" fontId="5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shrinkToFit="0" vertical="center" wrapText="1"/>
    </xf>
    <xf borderId="0" fillId="6" fontId="3" numFmtId="0" xfId="0" applyAlignment="1" applyFill="1" applyFont="1">
      <alignment shrinkToFit="0" vertical="center" wrapText="1"/>
    </xf>
    <xf borderId="0" fillId="8" fontId="6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8" fontId="6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1">
    <tableStyle count="4" pivot="0" name="01_테이블목록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_키_인덱스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관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_상태_검사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회원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분실물검색추적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대화메시지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_습득물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_이메일알림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_분실물후보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리프레시토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F13" displayName="TableList" name="TableList" id="1">
  <tableColumns count="6">
    <tableColumn name="순번" id="1"/>
    <tableColumn name="한글 논리 테이블명" id="2"/>
    <tableColumn name="MySQL 물리 테이블명" id="3"/>
    <tableColumn name="저장 내용" id="4"/>
    <tableColumn name="컬럼 수" id="5"/>
    <tableColumn name="PK 물리 컬럼" id="6"/>
  </tableColumns>
  <tableStyleInfo name="01_테이블목록-style" showColumnStripes="0" showFirstColumn="1" showLastColumn="1" showRowStripes="1"/>
</table>
</file>

<file path=xl/tables/table2.xml><?xml version="1.0" encoding="utf-8"?>
<table xmlns="http://schemas.openxmlformats.org/spreadsheetml/2006/main" ref="A6:H13" displayName="Relations" name="Relations" id="3">
  <tableColumns count="8">
    <tableColumn name="번호" id="1"/>
    <tableColumn name="한글 FK 논리명" id="2"/>
    <tableColumn name="자식 논리 테이블" id="3"/>
    <tableColumn name="자식 논리 컬럼" id="4"/>
    <tableColumn name="부모 논리 테이블" id="5"/>
    <tableColumn name="부모 논리 컬럼" id="6"/>
    <tableColumn name="자식 NULL 허용" id="7"/>
    <tableColumn name="관계 설명" id="8"/>
  </tableColumns>
  <tableStyleInfo name="02_관계-style" showColumnStripes="0" showFirstColumn="1" showLastColumn="1" showRowStripes="1"/>
</table>
</file>

<file path=xl/tables/table3.xml><?xml version="1.0" encoding="utf-8"?>
<table xmlns="http://schemas.openxmlformats.org/spreadsheetml/2006/main" ref="A6:G33" displayName="KeysIndexes" name="KeysIndexes" id="2">
  <tableColumns count="7">
    <tableColumn name="번호" id="1"/>
    <tableColumn name="테이블" id="2"/>
    <tableColumn name="종류" id="3"/>
    <tableColumn name="한글 논리명" id="4"/>
    <tableColumn name="영문 물리명" id="5"/>
    <tableColumn name="대상 영문 물리 컬럼(순서 유지)" id="6"/>
    <tableColumn name="참조 영문 물리 table(column)" id="7"/>
  </tableColumns>
  <tableStyleInfo name="03_키_인덱스-style" showColumnStripes="0" showFirstColumn="1" showLastColumn="1" showRowStripes="1"/>
</table>
</file>

<file path=xl/tables/table4.xml><?xml version="1.0" encoding="utf-8"?>
<table xmlns="http://schemas.openxmlformats.org/spreadsheetml/2006/main" ref="A6:E26" displayName="StateCodes" name="StateCodes" id="4">
  <tableColumns count="5">
    <tableColumn name="번호" id="1"/>
    <tableColumn name="한글 논리 테이블" id="2"/>
    <tableColumn name="한글 논리 컬럼" id="3"/>
    <tableColumn name="실제 저장값" id="4"/>
    <tableColumn name="한국어 의미" id="5"/>
  </tableColumns>
  <tableStyleInfo name="04_상태_검사-style" showColumnStripes="0" showFirstColumn="1" showLastColumn="1" showRowStripes="1"/>
</table>
</file>

<file path=xl/tables/table5.xml><?xml version="1.0" encoding="utf-8"?>
<table xmlns="http://schemas.openxmlformats.org/spreadsheetml/2006/main" ref="A6:K12" displayName="Schema_members" name="Schema_members" id="5">
  <tableColumns count="11">
    <tableColumn name="순번" id="1"/>
    <tableColumn name="한글 논리 컬럼명" id="2"/>
    <tableColumn name="영문 물리 컬럼명" id="3"/>
    <tableColumn name="자료형" id="4"/>
    <tableColumn name="키" id="5"/>
    <tableColumn name="NULL 허용" id="6"/>
    <tableColumn name="기본값" id="7"/>
    <tableColumn name="자동증가" id="8"/>
    <tableColumn name="FK 물리 참조 대상" id="9"/>
    <tableColumn name="설명(원본)" id="10"/>
    <tableColumn name="추가 속성" id="11"/>
  </tableColumns>
  <tableStyleInfo name="05_회원-style" showColumnStripes="0" showFirstColumn="1" showLastColumn="1" showRowStripes="1"/>
</table>
</file>

<file path=xl/tables/table6.xml><?xml version="1.0" encoding="utf-8"?>
<table xmlns="http://schemas.openxmlformats.org/spreadsheetml/2006/main" ref="A6:K29" displayName="Schema_lost_items" name="Schema_lost_items" id="6">
  <tableColumns count="11">
    <tableColumn name="순번" id="1"/>
    <tableColumn name="한글 논리 컬럼명" id="2"/>
    <tableColumn name="영문 물리 컬럼명" id="3"/>
    <tableColumn name="자료형" id="4"/>
    <tableColumn name="키" id="5"/>
    <tableColumn name="NULL 허용" id="6"/>
    <tableColumn name="기본값" id="7"/>
    <tableColumn name="자동증가" id="8"/>
    <tableColumn name="FK 물리 참조 대상" id="9"/>
    <tableColumn name="설명(원본)" id="10"/>
    <tableColumn name="추가 속성" id="11"/>
  </tableColumns>
  <tableStyleInfo name="06_분실물검색추적-style" showColumnStripes="0" showFirstColumn="1" showLastColumn="1" showRowStripes="1"/>
</table>
</file>

<file path=xl/tables/table7.xml><?xml version="1.0" encoding="utf-8"?>
<table xmlns="http://schemas.openxmlformats.org/spreadsheetml/2006/main" ref="A6:K11" displayName="Schema_chat_messages" name="Schema_chat_messages" id="7">
  <tableColumns count="11">
    <tableColumn name="순번" id="1"/>
    <tableColumn name="한글 논리 컬럼명" id="2"/>
    <tableColumn name="영문 물리 컬럼명" id="3"/>
    <tableColumn name="자료형" id="4"/>
    <tableColumn name="키" id="5"/>
    <tableColumn name="NULL 허용" id="6"/>
    <tableColumn name="기본값" id="7"/>
    <tableColumn name="자동증가" id="8"/>
    <tableColumn name="FK 물리 참조 대상" id="9"/>
    <tableColumn name="설명(원본)" id="10"/>
    <tableColumn name="추가 속성" id="11"/>
  </tableColumns>
  <tableStyleInfo name="07_대화메시지-style" showColumnStripes="0" showFirstColumn="1" showLastColumn="1" showRowStripes="1"/>
</table>
</file>

<file path=xl/tables/table8.xml><?xml version="1.0" encoding="utf-8"?>
<table xmlns="http://schemas.openxmlformats.org/spreadsheetml/2006/main" ref="A6:K23" displayName="Schema_found_items" name="Schema_found_items" id="8">
  <tableColumns count="11">
    <tableColumn name="순번" id="1"/>
    <tableColumn name="한글 논리 컬럼명" id="2"/>
    <tableColumn name="영문 물리 컬럼명" id="3"/>
    <tableColumn name="자료형" id="4"/>
    <tableColumn name="키" id="5"/>
    <tableColumn name="NULL 허용" id="6"/>
    <tableColumn name="기본값" id="7"/>
    <tableColumn name="자동증가" id="8"/>
    <tableColumn name="FK 물리 참조 대상" id="9"/>
    <tableColumn name="설명(원본)" id="10"/>
    <tableColumn name="추가 속성" id="11"/>
  </tableColumns>
  <tableStyleInfo name="08_습득물-style" showColumnStripes="0" showFirstColumn="1" showLastColumn="1" showRowStripes="1"/>
</table>
</file>

<file path=xl/tables/table9.xml><?xml version="1.0" encoding="utf-8"?>
<table xmlns="http://schemas.openxmlformats.org/spreadsheetml/2006/main" ref="A6:K19" displayName="Schema_email_notifications" name="Schema_email_notifications" id="9">
  <tableColumns count="11">
    <tableColumn name="순번" id="1"/>
    <tableColumn name="한글 논리 컬럼명" id="2"/>
    <tableColumn name="영문 물리 컬럼명" id="3"/>
    <tableColumn name="자료형" id="4"/>
    <tableColumn name="키" id="5"/>
    <tableColumn name="NULL 허용" id="6"/>
    <tableColumn name="기본값" id="7"/>
    <tableColumn name="자동증가" id="8"/>
    <tableColumn name="FK 물리 참조 대상" id="9"/>
    <tableColumn name="설명(원본)" id="10"/>
    <tableColumn name="추가 속성" id="11"/>
  </tableColumns>
  <tableStyleInfo name="09_이메일알림-style" showColumnStripes="0" showFirstColumn="1" showLastColumn="1" showRowStripes="1"/>
</table>
</file>

<file path=xl/tables/table10.xml><?xml version="1.0" encoding="utf-8"?>
<table xmlns="http://schemas.openxmlformats.org/spreadsheetml/2006/main" ref="A6:K17" displayName="Schema_lost_item_candidates" name="Schema_lost_item_candidates" id="10">
  <tableColumns count="11">
    <tableColumn name="순번" id="1"/>
    <tableColumn name="한글 논리 컬럼명" id="2"/>
    <tableColumn name="영문 물리 컬럼명" id="3"/>
    <tableColumn name="자료형" id="4"/>
    <tableColumn name="키" id="5"/>
    <tableColumn name="NULL 허용" id="6"/>
    <tableColumn name="기본값" id="7"/>
    <tableColumn name="자동증가" id="8"/>
    <tableColumn name="FK 물리 참조 대상" id="9"/>
    <tableColumn name="설명(원본)" id="10"/>
    <tableColumn name="추가 속성" id="11"/>
  </tableColumns>
  <tableStyleInfo name="10_분실물후보-style" showColumnStripes="0" showFirstColumn="1" showLastColumn="1" showRowStripes="1"/>
</table>
</file>

<file path=xl/tables/table11.xml><?xml version="1.0" encoding="utf-8"?>
<table xmlns="http://schemas.openxmlformats.org/spreadsheetml/2006/main" ref="A6:K11" displayName="Schema_lost_item_candidates_2" name="Schema_lost_item_candidates_2" id="11">
  <tableColumns count="11">
    <tableColumn name="순번" id="1"/>
    <tableColumn name="한글 논리 컬럼명" id="2"/>
    <tableColumn name="영문 물리 컬럼명" id="3"/>
    <tableColumn name="자료형" id="4"/>
    <tableColumn name="키" id="5"/>
    <tableColumn name="NULL 허용" id="6"/>
    <tableColumn name="기본값" id="7"/>
    <tableColumn name="자동증가" id="8"/>
    <tableColumn name="FK 물리 참조 대상" id="9"/>
    <tableColumn name="설명(원본)" id="10"/>
    <tableColumn name="추가 속성" id="11"/>
  </tableColumns>
  <tableStyleInfo name="11_리프레시토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20.0"/>
    <col customWidth="1" min="6" max="6" width="26.0"/>
    <col customWidth="1" min="7" max="26" width="8.63"/>
  </cols>
  <sheetData>
    <row r="1" ht="39.75" customHeight="1">
      <c r="A1" s="1" t="s">
        <v>487</v>
      </c>
    </row>
    <row r="2" ht="37.5" customHeight="1">
      <c r="A2" s="2" t="s">
        <v>488</v>
      </c>
    </row>
    <row r="3" ht="37.5" customHeight="1">
      <c r="A3" s="3" t="s">
        <v>489</v>
      </c>
    </row>
    <row r="4" ht="9.75" customHeight="1">
      <c r="A4" s="4"/>
      <c r="B4" s="4"/>
      <c r="C4" s="4"/>
      <c r="D4" s="4"/>
      <c r="E4" s="4"/>
      <c r="F4" s="4"/>
    </row>
    <row r="5" ht="30.0" customHeight="1">
      <c r="A5" s="5" t="s">
        <v>3</v>
      </c>
      <c r="C5" s="5" t="s">
        <v>4</v>
      </c>
      <c r="E5" s="5" t="s">
        <v>5</v>
      </c>
    </row>
    <row r="6" ht="42.0" customHeight="1">
      <c r="A6" s="6">
        <f>COUNTA('01_테이블목록'!B7:B13)</f>
        <v>7</v>
      </c>
      <c r="C6" s="6">
        <f>SUM('01_테이블목록'!E7:E13)</f>
        <v>80</v>
      </c>
      <c r="E6" s="6">
        <f>COUNTA('02_관계'!B7:B13)</f>
        <v>7</v>
      </c>
    </row>
    <row r="7" ht="30.0" customHeight="1">
      <c r="A7" s="4"/>
      <c r="B7" s="4"/>
      <c r="C7" s="4"/>
      <c r="D7" s="4"/>
      <c r="E7" s="4"/>
      <c r="F7" s="4"/>
    </row>
    <row r="8" ht="36.0" customHeight="1">
      <c r="A8" s="7" t="s">
        <v>6</v>
      </c>
      <c r="B8" s="8" t="s">
        <v>7</v>
      </c>
    </row>
    <row r="9" ht="36.0" customHeight="1">
      <c r="A9" s="9" t="s">
        <v>8</v>
      </c>
      <c r="B9" s="10" t="s">
        <v>9</v>
      </c>
    </row>
    <row r="10" ht="36.0" customHeight="1">
      <c r="A10" s="7" t="s">
        <v>10</v>
      </c>
      <c r="B10" s="11" t="s">
        <v>490</v>
      </c>
    </row>
    <row r="11" ht="46.5" customHeight="1">
      <c r="A11" s="9" t="s">
        <v>12</v>
      </c>
      <c r="B11" s="12" t="s">
        <v>13</v>
      </c>
    </row>
    <row r="12" ht="36.0" customHeight="1">
      <c r="A12" s="7" t="s">
        <v>14</v>
      </c>
      <c r="B12" s="11" t="s">
        <v>491</v>
      </c>
    </row>
    <row r="13" ht="46.5" customHeight="1">
      <c r="A13" s="9" t="s">
        <v>16</v>
      </c>
      <c r="B13" s="12" t="s">
        <v>492</v>
      </c>
    </row>
    <row r="14" ht="36.0" customHeight="1">
      <c r="A14" s="7" t="s">
        <v>18</v>
      </c>
      <c r="B14" s="8" t="s">
        <v>19</v>
      </c>
    </row>
    <row r="15" ht="36.0" customHeight="1">
      <c r="A15" s="9" t="s">
        <v>20</v>
      </c>
      <c r="B15" s="12" t="s">
        <v>21</v>
      </c>
    </row>
    <row r="16" ht="46.5" customHeight="1">
      <c r="A16" s="7" t="s">
        <v>22</v>
      </c>
      <c r="B16" s="11" t="s">
        <v>23</v>
      </c>
    </row>
    <row r="17" ht="46.5" customHeight="1">
      <c r="A17" s="9" t="s">
        <v>24</v>
      </c>
      <c r="B17" s="12" t="s">
        <v>25</v>
      </c>
    </row>
    <row r="18" ht="46.5" customHeight="1">
      <c r="A18" s="7" t="s">
        <v>26</v>
      </c>
      <c r="B18" s="8" t="s">
        <v>493</v>
      </c>
    </row>
    <row r="19" ht="46.5" customHeight="1">
      <c r="A19" s="9" t="s">
        <v>31</v>
      </c>
      <c r="B19" s="12" t="s">
        <v>494</v>
      </c>
    </row>
    <row r="20" ht="36.0" customHeight="1">
      <c r="A20" s="7" t="s">
        <v>33</v>
      </c>
      <c r="B20" s="11" t="s">
        <v>34</v>
      </c>
    </row>
    <row r="21" ht="36.0" customHeight="1">
      <c r="A21" s="9" t="s">
        <v>495</v>
      </c>
      <c r="B21" s="12" t="s">
        <v>37</v>
      </c>
    </row>
    <row r="22" ht="36.0" customHeight="1">
      <c r="A22" s="7" t="s">
        <v>496</v>
      </c>
      <c r="B22" s="11" t="s">
        <v>40</v>
      </c>
    </row>
    <row r="23" ht="30.0" customHeight="1">
      <c r="A23" s="4"/>
      <c r="B23" s="4"/>
      <c r="C23" s="4"/>
      <c r="D23" s="4"/>
      <c r="E23" s="4"/>
      <c r="F23" s="4"/>
    </row>
    <row r="24" ht="30.0" customHeight="1">
      <c r="A24" s="4"/>
      <c r="B24" s="4"/>
      <c r="C24" s="4"/>
      <c r="D24" s="4"/>
      <c r="E24" s="4"/>
      <c r="F24" s="4"/>
    </row>
    <row r="25" ht="30.0" customHeight="1">
      <c r="A25" s="1" t="s">
        <v>44</v>
      </c>
    </row>
    <row r="26" ht="30.0" customHeight="1">
      <c r="A26" s="4" t="s">
        <v>497</v>
      </c>
    </row>
    <row r="27" ht="30.0" customHeight="1">
      <c r="A27" s="4" t="s">
        <v>498</v>
      </c>
    </row>
    <row r="28" ht="30.0" customHeight="1">
      <c r="A28" s="4" t="s">
        <v>499</v>
      </c>
    </row>
    <row r="29" ht="30.0" customHeight="1">
      <c r="A29" s="16" t="s">
        <v>500</v>
      </c>
    </row>
    <row r="30" ht="42.0" customHeight="1">
      <c r="A30" s="4" t="s">
        <v>52</v>
      </c>
    </row>
    <row r="31" ht="30.0" customHeight="1">
      <c r="A31" s="4"/>
      <c r="B31" s="4"/>
      <c r="C31" s="4"/>
      <c r="D31" s="4"/>
      <c r="E31" s="4"/>
      <c r="F31" s="4"/>
    </row>
    <row r="32" ht="30.0" customHeight="1">
      <c r="A32" s="4"/>
      <c r="B32" s="4"/>
      <c r="C32" s="4"/>
      <c r="D32" s="4"/>
      <c r="E32" s="4"/>
      <c r="F32" s="4"/>
    </row>
    <row r="33" ht="30.0" customHeight="1">
      <c r="A33" s="4"/>
      <c r="B33" s="4"/>
      <c r="C33" s="4"/>
      <c r="D33" s="4"/>
      <c r="E33" s="4"/>
      <c r="F33" s="4"/>
    </row>
    <row r="34" ht="30.0" customHeight="1">
      <c r="A34" s="4"/>
      <c r="B34" s="4"/>
      <c r="C34" s="4"/>
      <c r="D34" s="4"/>
      <c r="E34" s="4"/>
      <c r="F34" s="4"/>
    </row>
    <row r="35" ht="30.0" customHeight="1">
      <c r="A35" s="4"/>
      <c r="B35" s="4"/>
      <c r="C35" s="4"/>
      <c r="D35" s="4"/>
      <c r="E35" s="4"/>
      <c r="F35" s="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F1"/>
    <mergeCell ref="A2:F2"/>
    <mergeCell ref="A3:F3"/>
    <mergeCell ref="A5:B5"/>
    <mergeCell ref="C5:D5"/>
    <mergeCell ref="E5:F5"/>
    <mergeCell ref="A6:B6"/>
    <mergeCell ref="C6:D6"/>
    <mergeCell ref="E6:F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A29:F29"/>
    <mergeCell ref="A30:F30"/>
    <mergeCell ref="B20:F20"/>
    <mergeCell ref="B21:F21"/>
    <mergeCell ref="B22:F22"/>
    <mergeCell ref="A25:F25"/>
    <mergeCell ref="A26:F26"/>
    <mergeCell ref="A27:F27"/>
    <mergeCell ref="A28:F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6.0"/>
    <col customWidth="1" min="3" max="3" width="27.0"/>
    <col customWidth="1" min="4" max="4" width="40.0"/>
    <col customWidth="1" min="5" max="5" width="11.0"/>
    <col customWidth="1" min="6" max="6" width="25.0"/>
    <col customWidth="1" min="7" max="26" width="8.63"/>
  </cols>
  <sheetData>
    <row r="1" ht="39.75" customHeight="1">
      <c r="A1" s="1" t="s">
        <v>501</v>
      </c>
    </row>
    <row r="2" ht="37.5" customHeight="1">
      <c r="A2" s="2" t="s">
        <v>502</v>
      </c>
    </row>
    <row r="3" ht="37.5" customHeight="1">
      <c r="A3" s="3" t="s">
        <v>42</v>
      </c>
    </row>
    <row r="4" ht="9.75" customHeight="1">
      <c r="A4" s="4"/>
      <c r="B4" s="4"/>
      <c r="C4" s="4"/>
      <c r="D4" s="4"/>
      <c r="E4" s="4"/>
      <c r="F4" s="4"/>
    </row>
    <row r="5" ht="30.0" customHeight="1">
      <c r="A5" s="4"/>
      <c r="B5" s="4"/>
      <c r="C5" s="4"/>
      <c r="D5" s="4"/>
      <c r="E5" s="4"/>
      <c r="F5" s="4"/>
    </row>
    <row r="6" ht="34.5" customHeight="1">
      <c r="A6" s="17" t="s">
        <v>49</v>
      </c>
      <c r="B6" s="17" t="s">
        <v>503</v>
      </c>
      <c r="C6" s="17" t="s">
        <v>504</v>
      </c>
      <c r="D6" s="17" t="s">
        <v>59</v>
      </c>
      <c r="E6" s="17" t="s">
        <v>62</v>
      </c>
      <c r="F6" s="17" t="s">
        <v>505</v>
      </c>
    </row>
    <row r="7" ht="31.5" customHeight="1">
      <c r="A7" s="18">
        <v>1.0</v>
      </c>
      <c r="B7" s="18" t="s">
        <v>71</v>
      </c>
      <c r="C7" s="18" t="s">
        <v>72</v>
      </c>
      <c r="D7" s="18" t="s">
        <v>71</v>
      </c>
      <c r="E7" s="20">
        <f>COUNT('05_회원'!A7:A12)</f>
        <v>6</v>
      </c>
      <c r="F7" s="18" t="s">
        <v>240</v>
      </c>
    </row>
    <row r="8" ht="31.5" customHeight="1">
      <c r="A8" s="19">
        <v>2.0</v>
      </c>
      <c r="B8" s="19" t="s">
        <v>77</v>
      </c>
      <c r="C8" s="19" t="s">
        <v>89</v>
      </c>
      <c r="D8" s="19" t="s">
        <v>90</v>
      </c>
      <c r="E8" s="21">
        <f>COUNT('06_분실물검색추적'!A7:A29)</f>
        <v>23</v>
      </c>
      <c r="F8" s="19" t="s">
        <v>265</v>
      </c>
    </row>
    <row r="9" ht="31.5" customHeight="1">
      <c r="A9" s="18">
        <v>3.0</v>
      </c>
      <c r="B9" s="18" t="s">
        <v>87</v>
      </c>
      <c r="C9" s="18" t="s">
        <v>98</v>
      </c>
      <c r="D9" s="18" t="s">
        <v>99</v>
      </c>
      <c r="E9" s="20">
        <f>COUNT('07_대화메시지'!A7:A11)</f>
        <v>5</v>
      </c>
      <c r="F9" s="18" t="s">
        <v>320</v>
      </c>
    </row>
    <row r="10" ht="31.5" customHeight="1">
      <c r="A10" s="19">
        <v>4.0</v>
      </c>
      <c r="B10" s="19" t="s">
        <v>106</v>
      </c>
      <c r="C10" s="19" t="s">
        <v>107</v>
      </c>
      <c r="D10" s="19" t="s">
        <v>109</v>
      </c>
      <c r="E10" s="21">
        <f>COUNT('08_습득물'!A7:A23)</f>
        <v>17</v>
      </c>
      <c r="F10" s="19" t="s">
        <v>331</v>
      </c>
    </row>
    <row r="11" ht="31.5" customHeight="1">
      <c r="A11" s="18">
        <v>5.0</v>
      </c>
      <c r="B11" s="18" t="s">
        <v>96</v>
      </c>
      <c r="C11" s="18" t="s">
        <v>116</v>
      </c>
      <c r="D11" s="18" t="s">
        <v>117</v>
      </c>
      <c r="E11" s="20">
        <f>COUNT('09_이메일알림'!A7:A19)</f>
        <v>13</v>
      </c>
      <c r="F11" s="18" t="s">
        <v>387</v>
      </c>
    </row>
    <row r="12" ht="31.5" customHeight="1">
      <c r="A12" s="19">
        <v>6.0</v>
      </c>
      <c r="B12" s="19" t="s">
        <v>108</v>
      </c>
      <c r="C12" s="19" t="s">
        <v>120</v>
      </c>
      <c r="D12" s="19" t="s">
        <v>122</v>
      </c>
      <c r="E12" s="21">
        <f>COUNT('10_분실물후보'!A7:A17)</f>
        <v>11</v>
      </c>
      <c r="F12" s="19" t="s">
        <v>444</v>
      </c>
    </row>
    <row r="13" ht="30.0" customHeight="1">
      <c r="A13" s="22">
        <v>7.0</v>
      </c>
      <c r="B13" s="23" t="s">
        <v>129</v>
      </c>
      <c r="C13" s="23" t="s">
        <v>130</v>
      </c>
      <c r="D13" s="23" t="s">
        <v>132</v>
      </c>
      <c r="E13" s="24">
        <f>COUNT('11_리프레시토큰'!A7:A11)</f>
        <v>5</v>
      </c>
      <c r="F13" s="23" t="s">
        <v>465</v>
      </c>
    </row>
    <row r="14" ht="30.0" customHeight="1">
      <c r="A14" s="4"/>
      <c r="B14" s="4"/>
      <c r="C14" s="4"/>
      <c r="D14" s="4"/>
      <c r="E14" s="4"/>
      <c r="F14" s="4"/>
    </row>
    <row r="15" ht="30.0" customHeight="1">
      <c r="A15" s="4"/>
      <c r="B15" s="4"/>
      <c r="C15" s="4"/>
      <c r="D15" s="4"/>
      <c r="E15" s="4"/>
      <c r="F15" s="4"/>
    </row>
    <row r="16" ht="30.0" customHeight="1">
      <c r="A16" s="4"/>
      <c r="B16" s="4"/>
      <c r="C16" s="4"/>
      <c r="D16" s="4"/>
      <c r="E16" s="4"/>
      <c r="F16" s="4"/>
    </row>
    <row r="17" ht="30.0" customHeight="1">
      <c r="A17" s="4"/>
      <c r="B17" s="4"/>
      <c r="C17" s="4"/>
      <c r="D17" s="4"/>
      <c r="E17" s="4"/>
      <c r="F17" s="4"/>
    </row>
    <row r="18" ht="30.0" customHeight="1">
      <c r="A18" s="4"/>
      <c r="B18" s="4"/>
      <c r="C18" s="4"/>
      <c r="D18" s="4"/>
      <c r="E18" s="4"/>
      <c r="F18" s="4"/>
    </row>
    <row r="19" ht="30.0" customHeight="1">
      <c r="A19" s="4"/>
      <c r="B19" s="4"/>
      <c r="C19" s="4"/>
      <c r="D19" s="4"/>
      <c r="E19" s="4"/>
      <c r="F19" s="4"/>
    </row>
    <row r="20" ht="30.0" customHeight="1">
      <c r="A20" s="4"/>
      <c r="B20" s="4"/>
      <c r="C20" s="4"/>
      <c r="D20" s="4"/>
      <c r="E20" s="4"/>
      <c r="F20" s="4"/>
    </row>
    <row r="21" ht="30.0" customHeight="1">
      <c r="A21" s="4"/>
      <c r="B21" s="4"/>
      <c r="C21" s="4"/>
      <c r="D21" s="4"/>
      <c r="E21" s="4"/>
      <c r="F21" s="4"/>
    </row>
    <row r="22" ht="30.0" customHeight="1">
      <c r="A22" s="4"/>
      <c r="B22" s="4"/>
      <c r="C22" s="4"/>
      <c r="D22" s="4"/>
      <c r="E22" s="4"/>
      <c r="F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3.0"/>
    <col customWidth="1" min="3" max="3" width="25.0"/>
    <col customWidth="1" min="4" max="4" width="22.0"/>
    <col customWidth="1" min="5" max="5" width="25.0"/>
    <col customWidth="1" min="6" max="6" width="22.0"/>
    <col customWidth="1" min="7" max="7" width="12.0"/>
    <col customWidth="1" min="8" max="8" width="40.0"/>
    <col customWidth="1" min="9" max="26" width="8.63"/>
  </cols>
  <sheetData>
    <row r="1" ht="39.75" customHeight="1">
      <c r="A1" s="13" t="s">
        <v>506</v>
      </c>
    </row>
    <row r="2" ht="37.5" customHeight="1">
      <c r="A2" s="14" t="s">
        <v>507</v>
      </c>
    </row>
    <row r="3" ht="37.5" customHeight="1">
      <c r="A3" s="3" t="s">
        <v>508</v>
      </c>
    </row>
    <row r="4" ht="9.75" customHeight="1">
      <c r="A4" s="4"/>
      <c r="B4" s="4"/>
      <c r="C4" s="4"/>
      <c r="D4" s="4"/>
      <c r="E4" s="4"/>
      <c r="F4" s="4"/>
      <c r="G4" s="4"/>
      <c r="H4" s="4"/>
    </row>
    <row r="5" ht="30.0" customHeight="1">
      <c r="A5" s="4"/>
      <c r="B5" s="4"/>
      <c r="C5" s="4"/>
      <c r="D5" s="4"/>
      <c r="E5" s="4"/>
      <c r="F5" s="4"/>
      <c r="G5" s="4"/>
      <c r="H5" s="4"/>
    </row>
    <row r="6" ht="34.5" customHeight="1">
      <c r="A6" s="17" t="s">
        <v>51</v>
      </c>
      <c r="B6" s="17" t="s">
        <v>509</v>
      </c>
      <c r="C6" s="17" t="s">
        <v>510</v>
      </c>
      <c r="D6" s="17" t="s">
        <v>511</v>
      </c>
      <c r="E6" s="17" t="s">
        <v>512</v>
      </c>
      <c r="F6" s="17" t="s">
        <v>513</v>
      </c>
      <c r="G6" s="17" t="s">
        <v>69</v>
      </c>
      <c r="H6" s="17" t="s">
        <v>70</v>
      </c>
    </row>
    <row r="7" ht="31.5" customHeight="1">
      <c r="A7" s="18">
        <v>1.0</v>
      </c>
      <c r="B7" s="18" t="s">
        <v>75</v>
      </c>
      <c r="C7" s="18" t="s">
        <v>77</v>
      </c>
      <c r="D7" s="18" t="s">
        <v>78</v>
      </c>
      <c r="E7" s="18" t="s">
        <v>71</v>
      </c>
      <c r="F7" s="18" t="s">
        <v>78</v>
      </c>
      <c r="G7" s="18" t="s">
        <v>81</v>
      </c>
      <c r="H7" s="18" t="s">
        <v>83</v>
      </c>
    </row>
    <row r="8" ht="31.5" customHeight="1">
      <c r="A8" s="19">
        <v>2.0</v>
      </c>
      <c r="B8" s="19" t="s">
        <v>86</v>
      </c>
      <c r="C8" s="19" t="s">
        <v>87</v>
      </c>
      <c r="D8" s="19" t="s">
        <v>88</v>
      </c>
      <c r="E8" s="19" t="s">
        <v>77</v>
      </c>
      <c r="F8" s="19" t="s">
        <v>88</v>
      </c>
      <c r="G8" s="19" t="s">
        <v>81</v>
      </c>
      <c r="H8" s="19" t="s">
        <v>91</v>
      </c>
    </row>
    <row r="9" ht="31.5" customHeight="1">
      <c r="A9" s="18">
        <v>3.0</v>
      </c>
      <c r="B9" s="18" t="s">
        <v>93</v>
      </c>
      <c r="C9" s="18" t="s">
        <v>96</v>
      </c>
      <c r="D9" s="18" t="s">
        <v>88</v>
      </c>
      <c r="E9" s="18" t="s">
        <v>77</v>
      </c>
      <c r="F9" s="18" t="s">
        <v>88</v>
      </c>
      <c r="G9" s="18" t="s">
        <v>81</v>
      </c>
      <c r="H9" s="18" t="s">
        <v>101</v>
      </c>
    </row>
    <row r="10" ht="31.5" customHeight="1">
      <c r="A10" s="19">
        <v>4.0</v>
      </c>
      <c r="B10" s="19" t="s">
        <v>105</v>
      </c>
      <c r="C10" s="19" t="s">
        <v>108</v>
      </c>
      <c r="D10" s="19" t="s">
        <v>88</v>
      </c>
      <c r="E10" s="19" t="s">
        <v>77</v>
      </c>
      <c r="F10" s="19" t="s">
        <v>88</v>
      </c>
      <c r="G10" s="19" t="s">
        <v>81</v>
      </c>
      <c r="H10" s="19" t="s">
        <v>114</v>
      </c>
    </row>
    <row r="11" ht="31.5" customHeight="1">
      <c r="A11" s="18">
        <v>5.0</v>
      </c>
      <c r="B11" s="18" t="s">
        <v>115</v>
      </c>
      <c r="C11" s="18" t="s">
        <v>108</v>
      </c>
      <c r="D11" s="18" t="s">
        <v>112</v>
      </c>
      <c r="E11" s="18" t="s">
        <v>106</v>
      </c>
      <c r="F11" s="18" t="s">
        <v>112</v>
      </c>
      <c r="G11" s="18" t="s">
        <v>81</v>
      </c>
      <c r="H11" s="18" t="s">
        <v>119</v>
      </c>
    </row>
    <row r="12" ht="39.75" customHeight="1">
      <c r="A12" s="19">
        <v>6.0</v>
      </c>
      <c r="B12" s="19" t="s">
        <v>121</v>
      </c>
      <c r="C12" s="19" t="s">
        <v>108</v>
      </c>
      <c r="D12" s="19" t="s">
        <v>118</v>
      </c>
      <c r="E12" s="19" t="s">
        <v>96</v>
      </c>
      <c r="F12" s="19" t="s">
        <v>118</v>
      </c>
      <c r="G12" s="19" t="s">
        <v>126</v>
      </c>
      <c r="H12" s="19" t="s">
        <v>128</v>
      </c>
    </row>
    <row r="13" ht="30.0" customHeight="1">
      <c r="A13" s="22">
        <v>7.0</v>
      </c>
      <c r="B13" s="23" t="s">
        <v>131</v>
      </c>
      <c r="C13" s="23" t="s">
        <v>129</v>
      </c>
      <c r="D13" s="23" t="s">
        <v>78</v>
      </c>
      <c r="E13" s="23" t="s">
        <v>71</v>
      </c>
      <c r="F13" s="23" t="s">
        <v>78</v>
      </c>
      <c r="G13" s="25" t="s">
        <v>81</v>
      </c>
      <c r="H13" s="23" t="s">
        <v>136</v>
      </c>
    </row>
    <row r="14" ht="30.0" customHeight="1">
      <c r="A14" s="4"/>
      <c r="B14" s="4"/>
      <c r="C14" s="4"/>
      <c r="D14" s="4"/>
      <c r="E14" s="4"/>
      <c r="F14" s="4"/>
      <c r="G14" s="4"/>
      <c r="H14" s="4"/>
    </row>
    <row r="15" ht="30.0" customHeight="1">
      <c r="A15" s="4"/>
      <c r="B15" s="4"/>
      <c r="C15" s="4"/>
      <c r="D15" s="4"/>
      <c r="E15" s="4"/>
      <c r="F15" s="4"/>
      <c r="G15" s="4"/>
      <c r="H15" s="4"/>
    </row>
    <row r="16" ht="30.0" customHeight="1">
      <c r="A16" s="4"/>
      <c r="B16" s="4"/>
      <c r="C16" s="4"/>
      <c r="D16" s="4"/>
      <c r="E16" s="4"/>
      <c r="F16" s="4"/>
      <c r="G16" s="4"/>
      <c r="H16" s="4"/>
    </row>
    <row r="17" ht="30.0" customHeight="1">
      <c r="A17" s="4"/>
      <c r="B17" s="4"/>
      <c r="C17" s="4"/>
      <c r="D17" s="4"/>
      <c r="E17" s="4"/>
      <c r="F17" s="4"/>
      <c r="G17" s="4"/>
      <c r="H17" s="4"/>
    </row>
    <row r="18" ht="30.0" customHeight="1">
      <c r="A18" s="4"/>
      <c r="B18" s="4"/>
      <c r="C18" s="4"/>
      <c r="D18" s="4"/>
      <c r="E18" s="4"/>
      <c r="F18" s="4"/>
      <c r="G18" s="4"/>
      <c r="H18" s="4"/>
    </row>
    <row r="19" ht="30.0" customHeight="1">
      <c r="A19" s="4"/>
      <c r="B19" s="4"/>
      <c r="C19" s="4"/>
      <c r="D19" s="4"/>
      <c r="E19" s="4"/>
      <c r="F19" s="4"/>
      <c r="G19" s="4"/>
      <c r="H19" s="4"/>
    </row>
    <row r="20" ht="30.0" customHeight="1">
      <c r="A20" s="4"/>
      <c r="B20" s="4"/>
      <c r="C20" s="4"/>
      <c r="D20" s="4"/>
      <c r="E20" s="4"/>
      <c r="F20" s="4"/>
      <c r="G20" s="4"/>
      <c r="H20" s="4"/>
    </row>
    <row r="21" ht="30.0" customHeight="1">
      <c r="A21" s="4"/>
      <c r="B21" s="4"/>
      <c r="C21" s="4"/>
      <c r="D21" s="4"/>
      <c r="E21" s="4"/>
      <c r="F21" s="4"/>
      <c r="G21" s="4"/>
      <c r="H21" s="4"/>
    </row>
    <row r="22" ht="30.0" customHeight="1">
      <c r="A22" s="4"/>
      <c r="B22" s="4"/>
      <c r="C22" s="4"/>
      <c r="D22" s="4"/>
      <c r="E22" s="4"/>
      <c r="F22" s="4"/>
      <c r="G22" s="4"/>
      <c r="H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:H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5.0"/>
    <col customWidth="1" min="3" max="3" width="17.0"/>
    <col customWidth="1" min="4" max="4" width="34.0"/>
    <col customWidth="1" min="5" max="5" width="36.0"/>
    <col customWidth="1" min="6" max="6" width="40.0"/>
    <col customWidth="1" min="7" max="7" width="38.0"/>
    <col customWidth="1" min="8" max="26" width="8.63"/>
  </cols>
  <sheetData>
    <row r="1" ht="39.75" customHeight="1">
      <c r="A1" s="1" t="s">
        <v>29</v>
      </c>
    </row>
    <row r="2" ht="37.5" customHeight="1">
      <c r="A2" s="14" t="s">
        <v>514</v>
      </c>
    </row>
    <row r="3" ht="37.5" customHeight="1">
      <c r="A3" s="15" t="s">
        <v>515</v>
      </c>
    </row>
    <row r="4" ht="9.75" customHeight="1">
      <c r="A4" s="4"/>
      <c r="B4" s="4"/>
      <c r="C4" s="4"/>
      <c r="D4" s="4"/>
      <c r="E4" s="4"/>
      <c r="F4" s="4"/>
      <c r="G4" s="4"/>
    </row>
    <row r="5" ht="30.0" customHeight="1">
      <c r="A5" s="4"/>
      <c r="B5" s="4"/>
      <c r="C5" s="4"/>
      <c r="D5" s="4"/>
      <c r="E5" s="4"/>
      <c r="F5" s="4"/>
      <c r="G5" s="4"/>
    </row>
    <row r="6" ht="34.5" customHeight="1">
      <c r="A6" s="17" t="s">
        <v>51</v>
      </c>
      <c r="B6" s="17" t="s">
        <v>55</v>
      </c>
      <c r="C6" s="17" t="s">
        <v>57</v>
      </c>
      <c r="D6" s="17" t="s">
        <v>516</v>
      </c>
      <c r="E6" s="17" t="s">
        <v>517</v>
      </c>
      <c r="F6" s="17" t="s">
        <v>518</v>
      </c>
      <c r="G6" s="17" t="s">
        <v>519</v>
      </c>
    </row>
    <row r="7" ht="31.5" customHeight="1">
      <c r="A7" s="18">
        <v>1.0</v>
      </c>
      <c r="B7" s="18" t="s">
        <v>71</v>
      </c>
      <c r="C7" s="18" t="s">
        <v>73</v>
      </c>
      <c r="D7" s="18" t="s">
        <v>74</v>
      </c>
      <c r="E7" s="18" t="s">
        <v>520</v>
      </c>
      <c r="F7" s="18" t="s">
        <v>240</v>
      </c>
      <c r="G7" s="18" t="s">
        <v>79</v>
      </c>
    </row>
    <row r="8" ht="31.5" customHeight="1">
      <c r="A8" s="19">
        <v>2.0</v>
      </c>
      <c r="B8" s="19" t="s">
        <v>71</v>
      </c>
      <c r="C8" s="19" t="s">
        <v>80</v>
      </c>
      <c r="D8" s="19" t="s">
        <v>82</v>
      </c>
      <c r="E8" s="19" t="s">
        <v>84</v>
      </c>
      <c r="F8" s="19" t="s">
        <v>258</v>
      </c>
      <c r="G8" s="19" t="s">
        <v>79</v>
      </c>
    </row>
    <row r="9" ht="31.5" customHeight="1">
      <c r="A9" s="18">
        <v>3.0</v>
      </c>
      <c r="B9" s="18" t="s">
        <v>77</v>
      </c>
      <c r="C9" s="18" t="s">
        <v>73</v>
      </c>
      <c r="D9" s="18" t="s">
        <v>74</v>
      </c>
      <c r="E9" s="18" t="s">
        <v>521</v>
      </c>
      <c r="F9" s="18" t="s">
        <v>265</v>
      </c>
      <c r="G9" s="18" t="s">
        <v>79</v>
      </c>
    </row>
    <row r="10" ht="31.5" customHeight="1">
      <c r="A10" s="19">
        <v>4.0</v>
      </c>
      <c r="B10" s="19" t="s">
        <v>77</v>
      </c>
      <c r="C10" s="19" t="s">
        <v>92</v>
      </c>
      <c r="D10" s="19" t="s">
        <v>94</v>
      </c>
      <c r="E10" s="19" t="s">
        <v>95</v>
      </c>
      <c r="F10" s="19" t="s">
        <v>527</v>
      </c>
      <c r="G10" s="19" t="s">
        <v>79</v>
      </c>
    </row>
    <row r="11" ht="39.75" customHeight="1">
      <c r="A11" s="18">
        <v>5.0</v>
      </c>
      <c r="B11" s="18" t="s">
        <v>77</v>
      </c>
      <c r="C11" s="18" t="s">
        <v>92</v>
      </c>
      <c r="D11" s="18" t="s">
        <v>100</v>
      </c>
      <c r="E11" s="18" t="s">
        <v>102</v>
      </c>
      <c r="F11" s="18" t="s">
        <v>528</v>
      </c>
      <c r="G11" s="18" t="s">
        <v>79</v>
      </c>
    </row>
    <row r="12" ht="31.5" customHeight="1">
      <c r="A12" s="19">
        <v>6.0</v>
      </c>
      <c r="B12" s="19" t="s">
        <v>77</v>
      </c>
      <c r="C12" s="19" t="s">
        <v>110</v>
      </c>
      <c r="D12" s="19" t="s">
        <v>75</v>
      </c>
      <c r="E12" s="19" t="s">
        <v>111</v>
      </c>
      <c r="F12" s="19" t="s">
        <v>240</v>
      </c>
      <c r="G12" s="19" t="s">
        <v>536</v>
      </c>
    </row>
    <row r="13" ht="31.5" customHeight="1">
      <c r="A13" s="18">
        <v>7.0</v>
      </c>
      <c r="B13" s="18" t="s">
        <v>87</v>
      </c>
      <c r="C13" s="18" t="s">
        <v>73</v>
      </c>
      <c r="D13" s="18" t="s">
        <v>74</v>
      </c>
      <c r="E13" s="18" t="s">
        <v>522</v>
      </c>
      <c r="F13" s="18" t="s">
        <v>320</v>
      </c>
      <c r="G13" s="18" t="s">
        <v>79</v>
      </c>
    </row>
    <row r="14" ht="31.5" customHeight="1">
      <c r="A14" s="19">
        <v>8.0</v>
      </c>
      <c r="B14" s="19" t="s">
        <v>87</v>
      </c>
      <c r="C14" s="19" t="s">
        <v>92</v>
      </c>
      <c r="D14" s="19" t="s">
        <v>124</v>
      </c>
      <c r="E14" s="19" t="s">
        <v>125</v>
      </c>
      <c r="F14" s="19" t="s">
        <v>529</v>
      </c>
      <c r="G14" s="19" t="s">
        <v>79</v>
      </c>
    </row>
    <row r="15" ht="31.5" customHeight="1">
      <c r="A15" s="18">
        <v>9.0</v>
      </c>
      <c r="B15" s="18" t="s">
        <v>87</v>
      </c>
      <c r="C15" s="18" t="s">
        <v>110</v>
      </c>
      <c r="D15" s="18" t="s">
        <v>86</v>
      </c>
      <c r="E15" s="18" t="s">
        <v>133</v>
      </c>
      <c r="F15" s="18" t="s">
        <v>265</v>
      </c>
      <c r="G15" s="18" t="s">
        <v>537</v>
      </c>
    </row>
    <row r="16" ht="31.5" customHeight="1">
      <c r="A16" s="19">
        <v>10.0</v>
      </c>
      <c r="B16" s="19" t="s">
        <v>106</v>
      </c>
      <c r="C16" s="19" t="s">
        <v>73</v>
      </c>
      <c r="D16" s="19" t="s">
        <v>74</v>
      </c>
      <c r="E16" s="19" t="s">
        <v>523</v>
      </c>
      <c r="F16" s="19" t="s">
        <v>331</v>
      </c>
      <c r="G16" s="19" t="s">
        <v>79</v>
      </c>
    </row>
    <row r="17" ht="31.5" customHeight="1">
      <c r="A17" s="18">
        <v>11.0</v>
      </c>
      <c r="B17" s="18" t="s">
        <v>106</v>
      </c>
      <c r="C17" s="18" t="s">
        <v>80</v>
      </c>
      <c r="D17" s="18" t="s">
        <v>137</v>
      </c>
      <c r="E17" s="18" t="s">
        <v>138</v>
      </c>
      <c r="F17" s="18" t="s">
        <v>530</v>
      </c>
      <c r="G17" s="18" t="s">
        <v>79</v>
      </c>
    </row>
    <row r="18" ht="31.5" customHeight="1">
      <c r="A18" s="19">
        <v>12.0</v>
      </c>
      <c r="B18" s="19" t="s">
        <v>96</v>
      </c>
      <c r="C18" s="19" t="s">
        <v>73</v>
      </c>
      <c r="D18" s="19" t="s">
        <v>74</v>
      </c>
      <c r="E18" s="19" t="s">
        <v>524</v>
      </c>
      <c r="F18" s="19" t="s">
        <v>387</v>
      </c>
      <c r="G18" s="19" t="s">
        <v>79</v>
      </c>
    </row>
    <row r="19" ht="31.5" customHeight="1">
      <c r="A19" s="18">
        <v>13.0</v>
      </c>
      <c r="B19" s="18" t="s">
        <v>96</v>
      </c>
      <c r="C19" s="18" t="s">
        <v>80</v>
      </c>
      <c r="D19" s="18" t="s">
        <v>140</v>
      </c>
      <c r="E19" s="18" t="s">
        <v>141</v>
      </c>
      <c r="F19" s="18" t="s">
        <v>531</v>
      </c>
      <c r="G19" s="18" t="s">
        <v>79</v>
      </c>
    </row>
    <row r="20" ht="31.5" customHeight="1">
      <c r="A20" s="19">
        <v>14.0</v>
      </c>
      <c r="B20" s="19" t="s">
        <v>96</v>
      </c>
      <c r="C20" s="19" t="s">
        <v>92</v>
      </c>
      <c r="D20" s="19" t="s">
        <v>143</v>
      </c>
      <c r="E20" s="19" t="s">
        <v>144</v>
      </c>
      <c r="F20" s="19" t="s">
        <v>532</v>
      </c>
      <c r="G20" s="19" t="s">
        <v>79</v>
      </c>
    </row>
    <row r="21" ht="31.5" customHeight="1">
      <c r="A21" s="18">
        <v>15.0</v>
      </c>
      <c r="B21" s="18" t="s">
        <v>96</v>
      </c>
      <c r="C21" s="18" t="s">
        <v>110</v>
      </c>
      <c r="D21" s="18" t="s">
        <v>93</v>
      </c>
      <c r="E21" s="18" t="s">
        <v>146</v>
      </c>
      <c r="F21" s="18" t="s">
        <v>265</v>
      </c>
      <c r="G21" s="18" t="s">
        <v>537</v>
      </c>
    </row>
    <row r="22" ht="31.5" customHeight="1">
      <c r="A22" s="19">
        <v>16.0</v>
      </c>
      <c r="B22" s="19" t="s">
        <v>108</v>
      </c>
      <c r="C22" s="19" t="s">
        <v>73</v>
      </c>
      <c r="D22" s="19" t="s">
        <v>74</v>
      </c>
      <c r="E22" s="19" t="s">
        <v>525</v>
      </c>
      <c r="F22" s="19" t="s">
        <v>444</v>
      </c>
      <c r="G22" s="19" t="s">
        <v>79</v>
      </c>
    </row>
    <row r="23" ht="31.5" customHeight="1">
      <c r="A23" s="18">
        <v>17.0</v>
      </c>
      <c r="B23" s="18" t="s">
        <v>108</v>
      </c>
      <c r="C23" s="18" t="s">
        <v>80</v>
      </c>
      <c r="D23" s="18" t="s">
        <v>153</v>
      </c>
      <c r="E23" s="18" t="s">
        <v>154</v>
      </c>
      <c r="F23" s="18" t="s">
        <v>533</v>
      </c>
      <c r="G23" s="18" t="s">
        <v>79</v>
      </c>
    </row>
    <row r="24" ht="31.5" customHeight="1">
      <c r="A24" s="19">
        <v>18.0</v>
      </c>
      <c r="B24" s="19" t="s">
        <v>108</v>
      </c>
      <c r="C24" s="19" t="s">
        <v>92</v>
      </c>
      <c r="D24" s="19" t="s">
        <v>161</v>
      </c>
      <c r="E24" s="19" t="s">
        <v>162</v>
      </c>
      <c r="F24" s="19" t="s">
        <v>534</v>
      </c>
      <c r="G24" s="19" t="s">
        <v>79</v>
      </c>
    </row>
    <row r="25" ht="31.5" customHeight="1">
      <c r="A25" s="18">
        <v>19.0</v>
      </c>
      <c r="B25" s="18" t="s">
        <v>108</v>
      </c>
      <c r="C25" s="18" t="s">
        <v>92</v>
      </c>
      <c r="D25" s="18" t="s">
        <v>169</v>
      </c>
      <c r="E25" s="18" t="s">
        <v>170</v>
      </c>
      <c r="F25" s="18" t="s">
        <v>331</v>
      </c>
      <c r="G25" s="18" t="s">
        <v>79</v>
      </c>
    </row>
    <row r="26" ht="31.5" customHeight="1">
      <c r="A26" s="19">
        <v>20.0</v>
      </c>
      <c r="B26" s="19" t="s">
        <v>108</v>
      </c>
      <c r="C26" s="19" t="s">
        <v>92</v>
      </c>
      <c r="D26" s="19" t="s">
        <v>173</v>
      </c>
      <c r="E26" s="19" t="s">
        <v>174</v>
      </c>
      <c r="F26" s="19" t="s">
        <v>387</v>
      </c>
      <c r="G26" s="19" t="s">
        <v>79</v>
      </c>
    </row>
    <row r="27" ht="31.5" customHeight="1">
      <c r="A27" s="18">
        <v>21.0</v>
      </c>
      <c r="B27" s="18" t="s">
        <v>108</v>
      </c>
      <c r="C27" s="18" t="s">
        <v>110</v>
      </c>
      <c r="D27" s="18" t="s">
        <v>105</v>
      </c>
      <c r="E27" s="18" t="s">
        <v>179</v>
      </c>
      <c r="F27" s="18" t="s">
        <v>265</v>
      </c>
      <c r="G27" s="18" t="s">
        <v>537</v>
      </c>
    </row>
    <row r="28" ht="31.5" customHeight="1">
      <c r="A28" s="19">
        <v>22.0</v>
      </c>
      <c r="B28" s="19" t="s">
        <v>108</v>
      </c>
      <c r="C28" s="19" t="s">
        <v>110</v>
      </c>
      <c r="D28" s="19" t="s">
        <v>115</v>
      </c>
      <c r="E28" s="19" t="s">
        <v>186</v>
      </c>
      <c r="F28" s="19" t="s">
        <v>331</v>
      </c>
      <c r="G28" s="19" t="s">
        <v>538</v>
      </c>
    </row>
    <row r="29" ht="31.5" customHeight="1">
      <c r="A29" s="18">
        <v>23.0</v>
      </c>
      <c r="B29" s="18" t="s">
        <v>108</v>
      </c>
      <c r="C29" s="18" t="s">
        <v>110</v>
      </c>
      <c r="D29" s="18" t="s">
        <v>121</v>
      </c>
      <c r="E29" s="18" t="s">
        <v>193</v>
      </c>
      <c r="F29" s="18" t="s">
        <v>387</v>
      </c>
      <c r="G29" s="18" t="s">
        <v>539</v>
      </c>
    </row>
    <row r="30" ht="30.0" customHeight="1">
      <c r="A30" s="26">
        <v>24.0</v>
      </c>
      <c r="B30" s="27" t="s">
        <v>129</v>
      </c>
      <c r="C30" s="27" t="s">
        <v>73</v>
      </c>
      <c r="D30" s="27" t="s">
        <v>74</v>
      </c>
      <c r="E30" s="27" t="s">
        <v>526</v>
      </c>
      <c r="F30" s="27" t="s">
        <v>465</v>
      </c>
      <c r="G30" s="26" t="s">
        <v>79</v>
      </c>
    </row>
    <row r="31" ht="30.0" customHeight="1">
      <c r="A31" s="28">
        <v>25.0</v>
      </c>
      <c r="B31" s="29" t="s">
        <v>129</v>
      </c>
      <c r="C31" s="29" t="s">
        <v>80</v>
      </c>
      <c r="D31" s="29" t="s">
        <v>210</v>
      </c>
      <c r="E31" s="29" t="s">
        <v>211</v>
      </c>
      <c r="F31" s="29" t="s">
        <v>475</v>
      </c>
      <c r="G31" s="28" t="s">
        <v>79</v>
      </c>
    </row>
    <row r="32" ht="30.0" customHeight="1">
      <c r="A32" s="26">
        <v>26.0</v>
      </c>
      <c r="B32" s="27" t="s">
        <v>129</v>
      </c>
      <c r="C32" s="27" t="s">
        <v>92</v>
      </c>
      <c r="D32" s="27" t="s">
        <v>219</v>
      </c>
      <c r="E32" s="27" t="s">
        <v>221</v>
      </c>
      <c r="F32" s="27" t="s">
        <v>535</v>
      </c>
      <c r="G32" s="26" t="s">
        <v>79</v>
      </c>
    </row>
    <row r="33" ht="30.0" customHeight="1">
      <c r="A33" s="28">
        <v>27.0</v>
      </c>
      <c r="B33" s="29" t="s">
        <v>129</v>
      </c>
      <c r="C33" s="29" t="s">
        <v>110</v>
      </c>
      <c r="D33" s="29" t="s">
        <v>232</v>
      </c>
      <c r="E33" s="29" t="s">
        <v>234</v>
      </c>
      <c r="F33" s="29" t="s">
        <v>240</v>
      </c>
      <c r="G33" s="29" t="s">
        <v>536</v>
      </c>
    </row>
    <row r="34" ht="30.0" customHeight="1">
      <c r="A34" s="4"/>
      <c r="B34" s="4"/>
      <c r="C34" s="4"/>
      <c r="D34" s="4"/>
      <c r="E34" s="4"/>
      <c r="F34" s="4"/>
      <c r="G34" s="4"/>
    </row>
    <row r="35" ht="30.0" customHeight="1">
      <c r="A35" s="4"/>
      <c r="B35" s="4"/>
      <c r="C35" s="4"/>
      <c r="D35" s="4"/>
      <c r="E35" s="4"/>
      <c r="F35" s="4"/>
      <c r="G35" s="4"/>
    </row>
    <row r="36" ht="30.0" customHeight="1">
      <c r="A36" s="4"/>
      <c r="B36" s="4"/>
      <c r="C36" s="4"/>
      <c r="D36" s="4"/>
      <c r="E36" s="4"/>
      <c r="F36" s="4"/>
      <c r="G36" s="4"/>
    </row>
    <row r="37" ht="30.0" customHeight="1">
      <c r="A37" s="4"/>
      <c r="B37" s="4"/>
      <c r="C37" s="4"/>
      <c r="D37" s="4"/>
      <c r="E37" s="4"/>
      <c r="F37" s="4"/>
      <c r="G37" s="4"/>
    </row>
    <row r="38" ht="30.0" customHeight="1">
      <c r="A38" s="4"/>
      <c r="B38" s="4"/>
      <c r="C38" s="4"/>
      <c r="D38" s="4"/>
      <c r="E38" s="4"/>
      <c r="F38" s="4"/>
      <c r="G38" s="4"/>
    </row>
    <row r="39" ht="30.0" customHeight="1">
      <c r="A39" s="4"/>
      <c r="B39" s="4"/>
      <c r="C39" s="4"/>
      <c r="D39" s="4"/>
      <c r="E39" s="4"/>
      <c r="F39" s="4"/>
      <c r="G39" s="4"/>
    </row>
    <row r="40" ht="30.0" customHeight="1">
      <c r="A40" s="4"/>
      <c r="B40" s="4"/>
      <c r="C40" s="4"/>
      <c r="D40" s="4"/>
      <c r="E40" s="4"/>
      <c r="F40" s="4"/>
      <c r="G40" s="4"/>
    </row>
    <row r="41" ht="30.0" customHeight="1">
      <c r="A41" s="4"/>
      <c r="B41" s="4"/>
      <c r="C41" s="4"/>
      <c r="D41" s="4"/>
      <c r="E41" s="4"/>
      <c r="F41" s="4"/>
      <c r="G41" s="4"/>
    </row>
    <row r="42" ht="30.0" customHeight="1">
      <c r="A42" s="4"/>
      <c r="B42" s="4"/>
      <c r="C42" s="4"/>
      <c r="D42" s="4"/>
      <c r="E42" s="4"/>
      <c r="F42" s="4"/>
      <c r="G42" s="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0"/>
    <col customWidth="1" min="3" max="3" width="28.0"/>
    <col customWidth="1" min="4" max="4" width="19.0"/>
    <col customWidth="1" min="5" max="5" width="40.0"/>
    <col customWidth="1" min="6" max="7" width="20.0"/>
    <col customWidth="1" min="8" max="26" width="8.63"/>
  </cols>
  <sheetData>
    <row r="1" ht="39.75" customHeight="1">
      <c r="A1" s="1" t="s">
        <v>147</v>
      </c>
    </row>
    <row r="2" ht="37.5" customHeight="1">
      <c r="A2" s="14" t="s">
        <v>148</v>
      </c>
    </row>
    <row r="3" ht="37.5" customHeight="1">
      <c r="A3" s="15" t="s">
        <v>540</v>
      </c>
    </row>
    <row r="4" ht="9.75" customHeight="1">
      <c r="A4" s="4"/>
      <c r="B4" s="4"/>
      <c r="C4" s="4"/>
      <c r="D4" s="4"/>
      <c r="E4" s="4"/>
      <c r="F4" s="4"/>
      <c r="G4" s="4"/>
    </row>
    <row r="5" ht="30.0" customHeight="1">
      <c r="A5" s="4"/>
      <c r="B5" s="4"/>
      <c r="C5" s="4"/>
      <c r="D5" s="4"/>
      <c r="E5" s="4"/>
      <c r="F5" s="4"/>
      <c r="G5" s="4"/>
    </row>
    <row r="6" ht="34.5" customHeight="1">
      <c r="A6" s="17" t="s">
        <v>51</v>
      </c>
      <c r="B6" s="17" t="s">
        <v>541</v>
      </c>
      <c r="C6" s="17" t="s">
        <v>542</v>
      </c>
      <c r="D6" s="17" t="s">
        <v>151</v>
      </c>
      <c r="E6" s="17" t="s">
        <v>152</v>
      </c>
      <c r="F6" s="4"/>
      <c r="G6" s="4"/>
    </row>
    <row r="7" ht="31.5" customHeight="1">
      <c r="A7" s="18">
        <v>1.0</v>
      </c>
      <c r="B7" s="18" t="s">
        <v>77</v>
      </c>
      <c r="C7" s="18" t="s">
        <v>155</v>
      </c>
      <c r="D7" s="18" t="s">
        <v>157</v>
      </c>
      <c r="E7" s="18" t="s">
        <v>158</v>
      </c>
      <c r="F7" s="4"/>
      <c r="G7" s="4"/>
    </row>
    <row r="8" ht="31.5" customHeight="1">
      <c r="A8" s="19">
        <v>2.0</v>
      </c>
      <c r="B8" s="19" t="s">
        <v>77</v>
      </c>
      <c r="C8" s="19" t="s">
        <v>155</v>
      </c>
      <c r="D8" s="19" t="s">
        <v>159</v>
      </c>
      <c r="E8" s="19" t="s">
        <v>160</v>
      </c>
      <c r="F8" s="4"/>
      <c r="G8" s="4"/>
    </row>
    <row r="9" ht="31.5" customHeight="1">
      <c r="A9" s="18">
        <v>3.0</v>
      </c>
      <c r="B9" s="18" t="s">
        <v>77</v>
      </c>
      <c r="C9" s="18" t="s">
        <v>155</v>
      </c>
      <c r="D9" s="18" t="s">
        <v>163</v>
      </c>
      <c r="E9" s="18" t="s">
        <v>165</v>
      </c>
      <c r="F9" s="4"/>
      <c r="G9" s="4"/>
    </row>
    <row r="10" ht="31.5" customHeight="1">
      <c r="A10" s="19">
        <v>4.0</v>
      </c>
      <c r="B10" s="19" t="s">
        <v>106</v>
      </c>
      <c r="C10" s="19" t="s">
        <v>166</v>
      </c>
      <c r="D10" s="19" t="s">
        <v>167</v>
      </c>
      <c r="E10" s="19" t="s">
        <v>168</v>
      </c>
      <c r="F10" s="4"/>
      <c r="G10" s="4"/>
    </row>
    <row r="11" ht="31.5" customHeight="1">
      <c r="A11" s="18">
        <v>5.0</v>
      </c>
      <c r="B11" s="18" t="s">
        <v>106</v>
      </c>
      <c r="C11" s="18" t="s">
        <v>166</v>
      </c>
      <c r="D11" s="18" t="s">
        <v>171</v>
      </c>
      <c r="E11" s="18" t="s">
        <v>172</v>
      </c>
      <c r="F11" s="4"/>
      <c r="G11" s="4"/>
    </row>
    <row r="12" ht="31.5" customHeight="1">
      <c r="A12" s="19">
        <v>6.0</v>
      </c>
      <c r="B12" s="19" t="s">
        <v>87</v>
      </c>
      <c r="C12" s="19" t="s">
        <v>175</v>
      </c>
      <c r="D12" s="19" t="s">
        <v>176</v>
      </c>
      <c r="E12" s="19" t="s">
        <v>177</v>
      </c>
      <c r="F12" s="4"/>
      <c r="G12" s="4"/>
    </row>
    <row r="13" ht="31.5" customHeight="1">
      <c r="A13" s="18">
        <v>7.0</v>
      </c>
      <c r="B13" s="18" t="s">
        <v>87</v>
      </c>
      <c r="C13" s="18" t="s">
        <v>175</v>
      </c>
      <c r="D13" s="18" t="s">
        <v>178</v>
      </c>
      <c r="E13" s="18" t="s">
        <v>180</v>
      </c>
      <c r="F13" s="4"/>
      <c r="G13" s="4"/>
    </row>
    <row r="14" ht="31.5" customHeight="1">
      <c r="A14" s="19">
        <v>8.0</v>
      </c>
      <c r="B14" s="19" t="s">
        <v>96</v>
      </c>
      <c r="C14" s="19" t="s">
        <v>181</v>
      </c>
      <c r="D14" s="19" t="s">
        <v>182</v>
      </c>
      <c r="E14" s="19" t="s">
        <v>183</v>
      </c>
      <c r="F14" s="4"/>
      <c r="G14" s="4"/>
    </row>
    <row r="15" ht="31.5" customHeight="1">
      <c r="A15" s="18">
        <v>9.0</v>
      </c>
      <c r="B15" s="18" t="s">
        <v>96</v>
      </c>
      <c r="C15" s="18" t="s">
        <v>181</v>
      </c>
      <c r="D15" s="18" t="s">
        <v>184</v>
      </c>
      <c r="E15" s="18" t="s">
        <v>185</v>
      </c>
      <c r="F15" s="4"/>
      <c r="G15" s="4"/>
    </row>
    <row r="16" ht="39.75" customHeight="1">
      <c r="A16" s="19">
        <v>10.0</v>
      </c>
      <c r="B16" s="19" t="s">
        <v>96</v>
      </c>
      <c r="C16" s="19" t="s">
        <v>181</v>
      </c>
      <c r="D16" s="19" t="s">
        <v>187</v>
      </c>
      <c r="E16" s="19" t="s">
        <v>188</v>
      </c>
      <c r="F16" s="4"/>
      <c r="G16" s="4"/>
    </row>
    <row r="17" ht="31.5" customHeight="1">
      <c r="A17" s="18">
        <v>11.0</v>
      </c>
      <c r="B17" s="18" t="s">
        <v>96</v>
      </c>
      <c r="C17" s="18" t="s">
        <v>181</v>
      </c>
      <c r="D17" s="18" t="s">
        <v>190</v>
      </c>
      <c r="E17" s="18" t="s">
        <v>191</v>
      </c>
      <c r="F17" s="4"/>
      <c r="G17" s="4"/>
    </row>
    <row r="18" ht="31.5" customHeight="1">
      <c r="A18" s="19">
        <v>12.0</v>
      </c>
      <c r="B18" s="19" t="s">
        <v>96</v>
      </c>
      <c r="C18" s="19" t="s">
        <v>181</v>
      </c>
      <c r="D18" s="19" t="s">
        <v>192</v>
      </c>
      <c r="E18" s="19" t="s">
        <v>194</v>
      </c>
      <c r="F18" s="4"/>
      <c r="G18" s="4"/>
    </row>
    <row r="19" ht="31.5" customHeight="1">
      <c r="A19" s="18">
        <v>13.0</v>
      </c>
      <c r="B19" s="18" t="s">
        <v>96</v>
      </c>
      <c r="C19" s="18" t="s">
        <v>181</v>
      </c>
      <c r="D19" s="18" t="s">
        <v>196</v>
      </c>
      <c r="E19" s="18" t="s">
        <v>197</v>
      </c>
      <c r="F19" s="4"/>
      <c r="G19" s="4"/>
    </row>
    <row r="20" ht="31.5" customHeight="1">
      <c r="A20" s="19">
        <v>14.0</v>
      </c>
      <c r="B20" s="19" t="s">
        <v>108</v>
      </c>
      <c r="C20" s="19" t="s">
        <v>198</v>
      </c>
      <c r="D20" s="19" t="s">
        <v>199</v>
      </c>
      <c r="E20" s="19" t="s">
        <v>200</v>
      </c>
      <c r="F20" s="4"/>
      <c r="G20" s="4"/>
    </row>
    <row r="21" ht="31.5" customHeight="1">
      <c r="A21" s="18">
        <v>15.0</v>
      </c>
      <c r="B21" s="18" t="s">
        <v>108</v>
      </c>
      <c r="C21" s="18" t="s">
        <v>198</v>
      </c>
      <c r="D21" s="18" t="s">
        <v>201</v>
      </c>
      <c r="E21" s="18" t="s">
        <v>202</v>
      </c>
      <c r="F21" s="4"/>
      <c r="G21" s="4"/>
    </row>
    <row r="22" ht="31.5" customHeight="1">
      <c r="A22" s="19">
        <v>16.0</v>
      </c>
      <c r="B22" s="19" t="s">
        <v>108</v>
      </c>
      <c r="C22" s="19" t="s">
        <v>198</v>
      </c>
      <c r="D22" s="19" t="s">
        <v>204</v>
      </c>
      <c r="E22" s="19" t="s">
        <v>205</v>
      </c>
      <c r="F22" s="4"/>
      <c r="G22" s="4"/>
    </row>
    <row r="23" ht="31.5" customHeight="1">
      <c r="A23" s="18">
        <v>17.0</v>
      </c>
      <c r="B23" s="18" t="s">
        <v>108</v>
      </c>
      <c r="C23" s="18" t="s">
        <v>207</v>
      </c>
      <c r="D23" s="18" t="s">
        <v>199</v>
      </c>
      <c r="E23" s="18" t="s">
        <v>209</v>
      </c>
      <c r="F23" s="4"/>
      <c r="G23" s="4"/>
    </row>
    <row r="24" ht="31.5" customHeight="1">
      <c r="A24" s="19">
        <v>18.0</v>
      </c>
      <c r="B24" s="19" t="s">
        <v>108</v>
      </c>
      <c r="C24" s="19" t="s">
        <v>207</v>
      </c>
      <c r="D24" s="19" t="s">
        <v>201</v>
      </c>
      <c r="E24" s="19" t="s">
        <v>213</v>
      </c>
      <c r="F24" s="4"/>
      <c r="G24" s="4"/>
    </row>
    <row r="25" ht="31.5" customHeight="1">
      <c r="A25" s="18">
        <v>19.0</v>
      </c>
      <c r="B25" s="18" t="s">
        <v>108</v>
      </c>
      <c r="C25" s="18" t="s">
        <v>215</v>
      </c>
      <c r="D25" s="18" t="s">
        <v>199</v>
      </c>
      <c r="E25" s="18" t="s">
        <v>217</v>
      </c>
      <c r="F25" s="4"/>
      <c r="G25" s="4"/>
    </row>
    <row r="26" ht="31.5" customHeight="1">
      <c r="A26" s="19">
        <v>20.0</v>
      </c>
      <c r="B26" s="19" t="s">
        <v>108</v>
      </c>
      <c r="C26" s="19" t="s">
        <v>215</v>
      </c>
      <c r="D26" s="19" t="s">
        <v>201</v>
      </c>
      <c r="E26" s="19" t="s">
        <v>222</v>
      </c>
      <c r="F26" s="4"/>
      <c r="G26" s="4"/>
    </row>
    <row r="27" ht="30.0" customHeight="1">
      <c r="A27" s="4"/>
      <c r="B27" s="4"/>
      <c r="C27" s="4"/>
      <c r="D27" s="4"/>
      <c r="E27" s="4"/>
      <c r="F27" s="4"/>
      <c r="G27" s="4"/>
    </row>
    <row r="28" ht="30.0" customHeight="1">
      <c r="A28" s="4"/>
      <c r="B28" s="4"/>
      <c r="C28" s="4"/>
      <c r="D28" s="4"/>
      <c r="E28" s="4"/>
      <c r="F28" s="4"/>
      <c r="G28" s="4"/>
    </row>
    <row r="29" ht="33.75" customHeight="1">
      <c r="A29" s="1" t="s">
        <v>543</v>
      </c>
    </row>
    <row r="30" ht="31.5" customHeight="1">
      <c r="A30" s="30" t="s">
        <v>51</v>
      </c>
      <c r="B30" s="30" t="s">
        <v>541</v>
      </c>
      <c r="C30" s="30" t="s">
        <v>544</v>
      </c>
      <c r="D30" s="30" t="s">
        <v>545</v>
      </c>
    </row>
    <row r="31" ht="60.0" customHeight="1">
      <c r="A31" s="12">
        <v>1.0</v>
      </c>
      <c r="B31" s="12" t="s">
        <v>77</v>
      </c>
      <c r="C31" s="12" t="s">
        <v>546</v>
      </c>
      <c r="D31" s="12" t="s">
        <v>547</v>
      </c>
    </row>
    <row r="32" ht="60.0" customHeight="1">
      <c r="A32" s="11">
        <v>2.0</v>
      </c>
      <c r="B32" s="11" t="s">
        <v>77</v>
      </c>
      <c r="C32" s="11" t="s">
        <v>548</v>
      </c>
      <c r="D32" s="11" t="s">
        <v>549</v>
      </c>
    </row>
    <row r="33" ht="79.5" customHeight="1">
      <c r="A33" s="12">
        <v>3.0</v>
      </c>
      <c r="B33" s="12" t="s">
        <v>77</v>
      </c>
      <c r="C33" s="12" t="s">
        <v>550</v>
      </c>
      <c r="D33" s="12" t="s">
        <v>551</v>
      </c>
    </row>
    <row r="34" ht="60.0" customHeight="1">
      <c r="A34" s="11">
        <v>4.0</v>
      </c>
      <c r="B34" s="11" t="s">
        <v>87</v>
      </c>
      <c r="C34" s="11" t="s">
        <v>552</v>
      </c>
      <c r="D34" s="11" t="s">
        <v>553</v>
      </c>
    </row>
    <row r="35" ht="60.0" customHeight="1">
      <c r="A35" s="12">
        <v>5.0</v>
      </c>
      <c r="B35" s="12" t="s">
        <v>106</v>
      </c>
      <c r="C35" s="12" t="s">
        <v>554</v>
      </c>
      <c r="D35" s="12" t="s">
        <v>555</v>
      </c>
    </row>
    <row r="36" ht="60.0" customHeight="1">
      <c r="A36" s="11">
        <v>6.0</v>
      </c>
      <c r="B36" s="11" t="s">
        <v>96</v>
      </c>
      <c r="C36" s="11" t="s">
        <v>556</v>
      </c>
      <c r="D36" s="11" t="s">
        <v>557</v>
      </c>
    </row>
    <row r="37" ht="60.0" customHeight="1">
      <c r="A37" s="12">
        <v>7.0</v>
      </c>
      <c r="B37" s="12" t="s">
        <v>108</v>
      </c>
      <c r="C37" s="12" t="s">
        <v>558</v>
      </c>
      <c r="D37" s="12" t="s">
        <v>559</v>
      </c>
    </row>
    <row r="38" ht="60.0" customHeight="1">
      <c r="A38" s="11">
        <v>8.0</v>
      </c>
      <c r="B38" s="11" t="s">
        <v>108</v>
      </c>
      <c r="C38" s="11" t="s">
        <v>560</v>
      </c>
      <c r="D38" s="11" t="s">
        <v>561</v>
      </c>
    </row>
    <row r="39" ht="30.0" customHeight="1">
      <c r="A39" s="4"/>
      <c r="B39" s="4"/>
      <c r="C39" s="4"/>
      <c r="D39" s="4"/>
      <c r="E39" s="4"/>
      <c r="F39" s="4"/>
      <c r="G39" s="4"/>
    </row>
    <row r="40" ht="30.0" customHeight="1">
      <c r="A40" s="4"/>
      <c r="B40" s="4"/>
      <c r="C40" s="4"/>
      <c r="D40" s="4"/>
      <c r="E40" s="4"/>
      <c r="F40" s="4"/>
      <c r="G40" s="4"/>
    </row>
    <row r="41" ht="30.0" customHeight="1">
      <c r="A41" s="4"/>
      <c r="B41" s="4"/>
      <c r="C41" s="4"/>
      <c r="D41" s="4"/>
      <c r="E41" s="4"/>
      <c r="F41" s="4"/>
      <c r="G41" s="4"/>
    </row>
    <row r="42" ht="30.0" customHeight="1">
      <c r="A42" s="4"/>
      <c r="B42" s="4"/>
      <c r="C42" s="4"/>
      <c r="D42" s="4"/>
      <c r="E42" s="4"/>
      <c r="F42" s="4"/>
      <c r="G42" s="4"/>
    </row>
    <row r="43" ht="30.0" customHeight="1">
      <c r="A43" s="4"/>
      <c r="B43" s="4"/>
      <c r="C43" s="4"/>
      <c r="D43" s="4"/>
      <c r="E43" s="4"/>
      <c r="F43" s="4"/>
      <c r="G43" s="4"/>
    </row>
    <row r="44" ht="30.0" customHeight="1">
      <c r="A44" s="4"/>
      <c r="B44" s="4"/>
      <c r="C44" s="4"/>
      <c r="D44" s="4"/>
      <c r="E44" s="4"/>
      <c r="F44" s="4"/>
      <c r="G44" s="4"/>
    </row>
    <row r="45" ht="30.0" customHeight="1">
      <c r="A45" s="4"/>
      <c r="B45" s="4"/>
      <c r="C45" s="4"/>
      <c r="D45" s="4"/>
      <c r="E45" s="4"/>
      <c r="F45" s="4"/>
      <c r="G45" s="4"/>
    </row>
    <row r="46" ht="30.0" customHeight="1">
      <c r="A46" s="4"/>
      <c r="B46" s="4"/>
      <c r="C46" s="4"/>
      <c r="D46" s="4"/>
      <c r="E46" s="4"/>
      <c r="F46" s="4"/>
      <c r="G46" s="4"/>
    </row>
    <row r="47" ht="30.0" customHeight="1">
      <c r="A47" s="4"/>
      <c r="B47" s="4"/>
      <c r="C47" s="4"/>
      <c r="D47" s="4"/>
      <c r="E47" s="4"/>
      <c r="F47" s="4"/>
      <c r="G47" s="4"/>
    </row>
    <row r="48" ht="30.0" customHeight="1">
      <c r="A48" s="4"/>
      <c r="B48" s="4"/>
      <c r="C48" s="4"/>
      <c r="D48" s="4"/>
      <c r="E48" s="4"/>
      <c r="F48" s="4"/>
      <c r="G48" s="4"/>
    </row>
    <row r="49" ht="30.0" customHeight="1">
      <c r="A49" s="4"/>
      <c r="B49" s="4"/>
      <c r="C49" s="4"/>
      <c r="D49" s="4"/>
      <c r="E49" s="4"/>
      <c r="F49" s="4"/>
      <c r="G49" s="4"/>
    </row>
    <row r="50" ht="30.0" customHeight="1">
      <c r="A50" s="4"/>
      <c r="B50" s="4"/>
      <c r="C50" s="4"/>
      <c r="D50" s="4"/>
      <c r="E50" s="4"/>
      <c r="F50" s="4"/>
      <c r="G50" s="4"/>
    </row>
    <row r="51" ht="30.0" customHeight="1">
      <c r="A51" s="4"/>
      <c r="B51" s="4"/>
      <c r="C51" s="4"/>
      <c r="D51" s="4"/>
      <c r="E51" s="4"/>
      <c r="F51" s="4"/>
      <c r="G51" s="4"/>
    </row>
    <row r="52" ht="30.0" customHeight="1">
      <c r="A52" s="4"/>
      <c r="B52" s="4"/>
      <c r="C52" s="4"/>
      <c r="D52" s="4"/>
      <c r="E52" s="4"/>
      <c r="F52" s="4"/>
      <c r="G52" s="4"/>
    </row>
    <row r="53" ht="30.0" customHeight="1">
      <c r="A53" s="4"/>
      <c r="B53" s="4"/>
      <c r="C53" s="4"/>
      <c r="D53" s="4"/>
      <c r="E53" s="4"/>
      <c r="F53" s="4"/>
      <c r="G53" s="4"/>
    </row>
    <row r="54" ht="30.0" customHeight="1">
      <c r="A54" s="4"/>
      <c r="B54" s="4"/>
      <c r="C54" s="4"/>
      <c r="D54" s="4"/>
      <c r="E54" s="4"/>
      <c r="F54" s="4"/>
      <c r="G54" s="4"/>
    </row>
    <row r="55" ht="30.0" customHeight="1">
      <c r="A55" s="4"/>
      <c r="B55" s="4"/>
      <c r="C55" s="4"/>
      <c r="D55" s="4"/>
      <c r="E55" s="4"/>
      <c r="F55" s="4"/>
      <c r="G55" s="4"/>
    </row>
    <row r="56" ht="30.0" customHeight="1">
      <c r="A56" s="4"/>
      <c r="B56" s="4"/>
      <c r="C56" s="4"/>
      <c r="D56" s="4"/>
      <c r="E56" s="4"/>
      <c r="F56" s="4"/>
      <c r="G56" s="4"/>
    </row>
    <row r="57" ht="30.0" customHeight="1">
      <c r="A57" s="4"/>
      <c r="B57" s="4"/>
      <c r="C57" s="4"/>
      <c r="D57" s="4"/>
      <c r="E57" s="4"/>
      <c r="F57" s="4"/>
      <c r="G57" s="4"/>
    </row>
    <row r="58" ht="30.0" customHeight="1">
      <c r="A58" s="4"/>
      <c r="B58" s="4"/>
      <c r="C58" s="4"/>
      <c r="D58" s="4"/>
      <c r="E58" s="4"/>
      <c r="F58" s="4"/>
      <c r="G58" s="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33:G33"/>
    <mergeCell ref="D34:G34"/>
    <mergeCell ref="D35:G35"/>
    <mergeCell ref="D36:G36"/>
    <mergeCell ref="D37:G37"/>
    <mergeCell ref="D38:G38"/>
    <mergeCell ref="A1:G1"/>
    <mergeCell ref="A2:G2"/>
    <mergeCell ref="A3:G3"/>
    <mergeCell ref="A29:G29"/>
    <mergeCell ref="D30:G30"/>
    <mergeCell ref="D31:G31"/>
    <mergeCell ref="D32:G3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27.0"/>
    <col customWidth="1" min="4" max="4" width="23.0"/>
    <col customWidth="1" min="5" max="5" width="16.0"/>
    <col customWidth="1" min="6" max="6" width="11.0"/>
    <col customWidth="1" min="7" max="7" width="24.0"/>
    <col customWidth="1" min="8" max="8" width="11.0"/>
    <col customWidth="1" min="9" max="9" width="34.0"/>
    <col customWidth="1" min="10" max="10" width="40.0"/>
    <col customWidth="1" min="11" max="11" width="31.0"/>
    <col customWidth="1" min="12" max="26" width="8.63"/>
  </cols>
  <sheetData>
    <row r="1" ht="39.75" customHeight="1">
      <c r="A1" s="1" t="s">
        <v>203</v>
      </c>
    </row>
    <row r="2" ht="37.5" customHeight="1">
      <c r="A2" s="14" t="s">
        <v>562</v>
      </c>
    </row>
    <row r="3" ht="37.5" customHeight="1">
      <c r="A3" s="15" t="s">
        <v>563</v>
      </c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4" t="s">
        <v>212</v>
      </c>
    </row>
    <row r="6" ht="34.5" customHeight="1">
      <c r="A6" s="17" t="s">
        <v>49</v>
      </c>
      <c r="B6" s="17" t="s">
        <v>564</v>
      </c>
      <c r="C6" s="17" t="s">
        <v>565</v>
      </c>
      <c r="D6" s="17" t="s">
        <v>220</v>
      </c>
      <c r="E6" s="17" t="s">
        <v>223</v>
      </c>
      <c r="F6" s="17" t="s">
        <v>225</v>
      </c>
      <c r="G6" s="17" t="s">
        <v>226</v>
      </c>
      <c r="H6" s="17" t="s">
        <v>228</v>
      </c>
      <c r="I6" s="17" t="s">
        <v>566</v>
      </c>
      <c r="J6" s="17" t="s">
        <v>229</v>
      </c>
      <c r="K6" s="17" t="s">
        <v>233</v>
      </c>
    </row>
    <row r="7" ht="31.5" customHeight="1">
      <c r="A7" s="20">
        <v>1.0</v>
      </c>
      <c r="B7" s="18" t="s">
        <v>78</v>
      </c>
      <c r="C7" s="31" t="s">
        <v>240</v>
      </c>
      <c r="D7" s="18" t="s">
        <v>246</v>
      </c>
      <c r="E7" s="32" t="s">
        <v>247</v>
      </c>
      <c r="F7" s="20" t="s">
        <v>81</v>
      </c>
      <c r="G7" s="18" t="s">
        <v>252</v>
      </c>
      <c r="H7" s="20" t="s">
        <v>126</v>
      </c>
      <c r="I7" s="18" t="s">
        <v>79</v>
      </c>
      <c r="J7" s="18" t="s">
        <v>257</v>
      </c>
      <c r="K7" s="18" t="s">
        <v>79</v>
      </c>
    </row>
    <row r="8" ht="31.5" customHeight="1">
      <c r="A8" s="21">
        <v>2.0</v>
      </c>
      <c r="B8" s="19" t="s">
        <v>85</v>
      </c>
      <c r="C8" s="33" t="s">
        <v>258</v>
      </c>
      <c r="D8" s="19" t="s">
        <v>259</v>
      </c>
      <c r="E8" s="21" t="s">
        <v>260</v>
      </c>
      <c r="F8" s="21" t="s">
        <v>81</v>
      </c>
      <c r="G8" s="19" t="s">
        <v>252</v>
      </c>
      <c r="H8" s="21" t="s">
        <v>81</v>
      </c>
      <c r="I8" s="19" t="s">
        <v>79</v>
      </c>
      <c r="J8" s="19" t="s">
        <v>261</v>
      </c>
      <c r="K8" s="19" t="s">
        <v>79</v>
      </c>
    </row>
    <row r="9" ht="31.5" customHeight="1">
      <c r="A9" s="20">
        <v>3.0</v>
      </c>
      <c r="B9" s="18" t="s">
        <v>262</v>
      </c>
      <c r="C9" s="31" t="s">
        <v>263</v>
      </c>
      <c r="D9" s="18" t="s">
        <v>264</v>
      </c>
      <c r="E9" s="20" t="s">
        <v>79</v>
      </c>
      <c r="F9" s="20" t="s">
        <v>81</v>
      </c>
      <c r="G9" s="18" t="s">
        <v>252</v>
      </c>
      <c r="H9" s="20" t="s">
        <v>81</v>
      </c>
      <c r="I9" s="18" t="s">
        <v>79</v>
      </c>
      <c r="J9" s="18" t="s">
        <v>266</v>
      </c>
      <c r="K9" s="18" t="s">
        <v>79</v>
      </c>
    </row>
    <row r="10" ht="31.5" customHeight="1">
      <c r="A10" s="21">
        <v>4.0</v>
      </c>
      <c r="B10" s="19" t="s">
        <v>267</v>
      </c>
      <c r="C10" s="33" t="s">
        <v>268</v>
      </c>
      <c r="D10" s="19" t="s">
        <v>269</v>
      </c>
      <c r="E10" s="21" t="s">
        <v>79</v>
      </c>
      <c r="F10" s="21" t="s">
        <v>81</v>
      </c>
      <c r="G10" s="19" t="s">
        <v>252</v>
      </c>
      <c r="H10" s="21" t="s">
        <v>81</v>
      </c>
      <c r="I10" s="19" t="s">
        <v>79</v>
      </c>
      <c r="J10" s="19" t="s">
        <v>271</v>
      </c>
      <c r="K10" s="19" t="s">
        <v>79</v>
      </c>
    </row>
    <row r="11" ht="31.5" customHeight="1">
      <c r="A11" s="20">
        <v>5.0</v>
      </c>
      <c r="B11" s="18" t="s">
        <v>273</v>
      </c>
      <c r="C11" s="31" t="s">
        <v>274</v>
      </c>
      <c r="D11" s="18" t="s">
        <v>276</v>
      </c>
      <c r="E11" s="20" t="s">
        <v>79</v>
      </c>
      <c r="F11" s="20" t="s">
        <v>81</v>
      </c>
      <c r="G11" s="18" t="s">
        <v>279</v>
      </c>
      <c r="H11" s="20" t="s">
        <v>81</v>
      </c>
      <c r="I11" s="18" t="s">
        <v>79</v>
      </c>
      <c r="J11" s="18" t="s">
        <v>282</v>
      </c>
      <c r="K11" s="18" t="s">
        <v>79</v>
      </c>
    </row>
    <row r="12" ht="39.75" customHeight="1">
      <c r="A12" s="21">
        <v>6.0</v>
      </c>
      <c r="B12" s="19" t="s">
        <v>284</v>
      </c>
      <c r="C12" s="33" t="s">
        <v>285</v>
      </c>
      <c r="D12" s="19" t="s">
        <v>276</v>
      </c>
      <c r="E12" s="21" t="s">
        <v>79</v>
      </c>
      <c r="F12" s="21" t="s">
        <v>81</v>
      </c>
      <c r="G12" s="19" t="s">
        <v>279</v>
      </c>
      <c r="H12" s="21" t="s">
        <v>81</v>
      </c>
      <c r="I12" s="19" t="s">
        <v>79</v>
      </c>
      <c r="J12" s="19" t="s">
        <v>286</v>
      </c>
      <c r="K12" s="19" t="s">
        <v>287</v>
      </c>
    </row>
    <row r="13" ht="30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30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37.5" customHeight="1">
      <c r="A15" s="14" t="s">
        <v>289</v>
      </c>
    </row>
    <row r="16" ht="30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30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3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2:K2"/>
    <mergeCell ref="A3:K3"/>
    <mergeCell ref="A5:K5"/>
    <mergeCell ref="A15:K1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27.0"/>
    <col customWidth="1" min="4" max="4" width="23.0"/>
    <col customWidth="1" min="5" max="5" width="16.0"/>
    <col customWidth="1" min="6" max="6" width="11.0"/>
    <col customWidth="1" min="7" max="7" width="24.0"/>
    <col customWidth="1" min="8" max="8" width="11.0"/>
    <col customWidth="1" min="9" max="9" width="34.0"/>
    <col customWidth="1" min="10" max="10" width="40.0"/>
    <col customWidth="1" min="11" max="11" width="31.0"/>
    <col customWidth="1" min="12" max="26" width="8.63"/>
  </cols>
  <sheetData>
    <row r="1" ht="39.75" customHeight="1">
      <c r="A1" s="1" t="s">
        <v>236</v>
      </c>
    </row>
    <row r="2" ht="37.5" customHeight="1">
      <c r="A2" s="14" t="s">
        <v>567</v>
      </c>
    </row>
    <row r="3" ht="37.5" customHeight="1">
      <c r="A3" s="15" t="s">
        <v>563</v>
      </c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4" t="s">
        <v>212</v>
      </c>
    </row>
    <row r="6" ht="34.5" customHeight="1">
      <c r="A6" s="17" t="s">
        <v>49</v>
      </c>
      <c r="B6" s="17" t="s">
        <v>564</v>
      </c>
      <c r="C6" s="17" t="s">
        <v>565</v>
      </c>
      <c r="D6" s="17" t="s">
        <v>220</v>
      </c>
      <c r="E6" s="17" t="s">
        <v>223</v>
      </c>
      <c r="F6" s="17" t="s">
        <v>225</v>
      </c>
      <c r="G6" s="17" t="s">
        <v>226</v>
      </c>
      <c r="H6" s="17" t="s">
        <v>228</v>
      </c>
      <c r="I6" s="17" t="s">
        <v>566</v>
      </c>
      <c r="J6" s="17" t="s">
        <v>229</v>
      </c>
      <c r="K6" s="17" t="s">
        <v>233</v>
      </c>
    </row>
    <row r="7" ht="31.5" customHeight="1">
      <c r="A7" s="20">
        <v>1.0</v>
      </c>
      <c r="B7" s="18" t="s">
        <v>88</v>
      </c>
      <c r="C7" s="31" t="s">
        <v>265</v>
      </c>
      <c r="D7" s="18" t="s">
        <v>246</v>
      </c>
      <c r="E7" s="32" t="s">
        <v>247</v>
      </c>
      <c r="F7" s="20" t="s">
        <v>81</v>
      </c>
      <c r="G7" s="18" t="s">
        <v>252</v>
      </c>
      <c r="H7" s="20" t="s">
        <v>126</v>
      </c>
      <c r="I7" s="18" t="s">
        <v>79</v>
      </c>
      <c r="J7" s="18" t="s">
        <v>270</v>
      </c>
      <c r="K7" s="18" t="s">
        <v>79</v>
      </c>
    </row>
    <row r="8" ht="31.5" customHeight="1">
      <c r="A8" s="21">
        <v>2.0</v>
      </c>
      <c r="B8" s="19" t="s">
        <v>78</v>
      </c>
      <c r="C8" s="33" t="s">
        <v>240</v>
      </c>
      <c r="D8" s="19" t="s">
        <v>246</v>
      </c>
      <c r="E8" s="32" t="s">
        <v>272</v>
      </c>
      <c r="F8" s="21" t="s">
        <v>81</v>
      </c>
      <c r="G8" s="19" t="s">
        <v>252</v>
      </c>
      <c r="H8" s="21" t="s">
        <v>81</v>
      </c>
      <c r="I8" s="19" t="s">
        <v>536</v>
      </c>
      <c r="J8" s="19" t="s">
        <v>277</v>
      </c>
      <c r="K8" s="19" t="s">
        <v>79</v>
      </c>
    </row>
    <row r="9" ht="31.5" customHeight="1">
      <c r="A9" s="20">
        <v>3.0</v>
      </c>
      <c r="B9" s="18" t="s">
        <v>278</v>
      </c>
      <c r="C9" s="31" t="s">
        <v>280</v>
      </c>
      <c r="D9" s="18" t="s">
        <v>281</v>
      </c>
      <c r="E9" s="20" t="s">
        <v>79</v>
      </c>
      <c r="F9" s="20" t="s">
        <v>81</v>
      </c>
      <c r="G9" s="18" t="s">
        <v>252</v>
      </c>
      <c r="H9" s="20" t="s">
        <v>81</v>
      </c>
      <c r="I9" s="18" t="s">
        <v>79</v>
      </c>
      <c r="J9" s="18" t="s">
        <v>283</v>
      </c>
      <c r="K9" s="18" t="s">
        <v>79</v>
      </c>
    </row>
    <row r="10" ht="31.5" customHeight="1">
      <c r="A10" s="21">
        <v>4.0</v>
      </c>
      <c r="B10" s="19" t="s">
        <v>267</v>
      </c>
      <c r="C10" s="33" t="s">
        <v>268</v>
      </c>
      <c r="D10" s="19" t="s">
        <v>269</v>
      </c>
      <c r="E10" s="21" t="s">
        <v>79</v>
      </c>
      <c r="F10" s="21" t="s">
        <v>81</v>
      </c>
      <c r="G10" s="19" t="s">
        <v>252</v>
      </c>
      <c r="H10" s="21" t="s">
        <v>81</v>
      </c>
      <c r="I10" s="19" t="s">
        <v>79</v>
      </c>
      <c r="J10" s="19" t="s">
        <v>288</v>
      </c>
      <c r="K10" s="19" t="s">
        <v>79</v>
      </c>
    </row>
    <row r="11" ht="31.5" customHeight="1">
      <c r="A11" s="20">
        <v>5.0</v>
      </c>
      <c r="B11" s="18" t="s">
        <v>290</v>
      </c>
      <c r="C11" s="31" t="s">
        <v>291</v>
      </c>
      <c r="D11" s="18" t="s">
        <v>292</v>
      </c>
      <c r="E11" s="20" t="s">
        <v>79</v>
      </c>
      <c r="F11" s="20" t="s">
        <v>126</v>
      </c>
      <c r="G11" s="18" t="s">
        <v>252</v>
      </c>
      <c r="H11" s="20" t="s">
        <v>81</v>
      </c>
      <c r="I11" s="18" t="s">
        <v>79</v>
      </c>
      <c r="J11" s="18" t="s">
        <v>293</v>
      </c>
      <c r="K11" s="18" t="s">
        <v>79</v>
      </c>
    </row>
    <row r="12" ht="31.5" customHeight="1">
      <c r="A12" s="21">
        <v>6.0</v>
      </c>
      <c r="B12" s="19" t="s">
        <v>294</v>
      </c>
      <c r="C12" s="33" t="s">
        <v>295</v>
      </c>
      <c r="D12" s="19" t="s">
        <v>292</v>
      </c>
      <c r="E12" s="21" t="s">
        <v>79</v>
      </c>
      <c r="F12" s="21" t="s">
        <v>126</v>
      </c>
      <c r="G12" s="19" t="s">
        <v>252</v>
      </c>
      <c r="H12" s="21" t="s">
        <v>81</v>
      </c>
      <c r="I12" s="19" t="s">
        <v>79</v>
      </c>
      <c r="J12" s="19" t="s">
        <v>296</v>
      </c>
      <c r="K12" s="19" t="s">
        <v>79</v>
      </c>
    </row>
    <row r="13" ht="31.5" customHeight="1">
      <c r="A13" s="20">
        <v>7.0</v>
      </c>
      <c r="B13" s="18" t="s">
        <v>297</v>
      </c>
      <c r="C13" s="31" t="s">
        <v>298</v>
      </c>
      <c r="D13" s="18" t="s">
        <v>299</v>
      </c>
      <c r="E13" s="20" t="s">
        <v>79</v>
      </c>
      <c r="F13" s="20" t="s">
        <v>126</v>
      </c>
      <c r="G13" s="18" t="s">
        <v>252</v>
      </c>
      <c r="H13" s="20" t="s">
        <v>81</v>
      </c>
      <c r="I13" s="18" t="s">
        <v>79</v>
      </c>
      <c r="J13" s="18" t="s">
        <v>300</v>
      </c>
      <c r="K13" s="18" t="s">
        <v>79</v>
      </c>
    </row>
    <row r="14" ht="31.5" customHeight="1">
      <c r="A14" s="21">
        <v>8.0</v>
      </c>
      <c r="B14" s="19" t="s">
        <v>301</v>
      </c>
      <c r="C14" s="33" t="s">
        <v>302</v>
      </c>
      <c r="D14" s="19" t="s">
        <v>292</v>
      </c>
      <c r="E14" s="21" t="s">
        <v>79</v>
      </c>
      <c r="F14" s="21" t="s">
        <v>126</v>
      </c>
      <c r="G14" s="19" t="s">
        <v>252</v>
      </c>
      <c r="H14" s="21" t="s">
        <v>81</v>
      </c>
      <c r="I14" s="19" t="s">
        <v>79</v>
      </c>
      <c r="J14" s="19" t="s">
        <v>303</v>
      </c>
      <c r="K14" s="19" t="s">
        <v>79</v>
      </c>
    </row>
    <row r="15" ht="31.5" customHeight="1">
      <c r="A15" s="20">
        <v>9.0</v>
      </c>
      <c r="B15" s="18" t="s">
        <v>304</v>
      </c>
      <c r="C15" s="31" t="s">
        <v>305</v>
      </c>
      <c r="D15" s="18" t="s">
        <v>306</v>
      </c>
      <c r="E15" s="20" t="s">
        <v>79</v>
      </c>
      <c r="F15" s="20" t="s">
        <v>126</v>
      </c>
      <c r="G15" s="18" t="s">
        <v>252</v>
      </c>
      <c r="H15" s="20" t="s">
        <v>81</v>
      </c>
      <c r="I15" s="18" t="s">
        <v>79</v>
      </c>
      <c r="J15" s="18" t="s">
        <v>307</v>
      </c>
      <c r="K15" s="18" t="s">
        <v>79</v>
      </c>
    </row>
    <row r="16" ht="31.5" customHeight="1">
      <c r="A16" s="21">
        <v>10.0</v>
      </c>
      <c r="B16" s="19" t="s">
        <v>308</v>
      </c>
      <c r="C16" s="33" t="s">
        <v>309</v>
      </c>
      <c r="D16" s="19" t="s">
        <v>306</v>
      </c>
      <c r="E16" s="21" t="s">
        <v>79</v>
      </c>
      <c r="F16" s="21" t="s">
        <v>126</v>
      </c>
      <c r="G16" s="19" t="s">
        <v>252</v>
      </c>
      <c r="H16" s="21" t="s">
        <v>81</v>
      </c>
      <c r="I16" s="19" t="s">
        <v>79</v>
      </c>
      <c r="J16" s="19" t="s">
        <v>312</v>
      </c>
      <c r="K16" s="19" t="s">
        <v>79</v>
      </c>
    </row>
    <row r="17" ht="31.5" customHeight="1">
      <c r="A17" s="20">
        <v>11.0</v>
      </c>
      <c r="B17" s="18" t="s">
        <v>313</v>
      </c>
      <c r="C17" s="31" t="s">
        <v>314</v>
      </c>
      <c r="D17" s="18" t="s">
        <v>264</v>
      </c>
      <c r="E17" s="20" t="s">
        <v>79</v>
      </c>
      <c r="F17" s="20" t="s">
        <v>126</v>
      </c>
      <c r="G17" s="18" t="s">
        <v>252</v>
      </c>
      <c r="H17" s="20" t="s">
        <v>81</v>
      </c>
      <c r="I17" s="18" t="s">
        <v>79</v>
      </c>
      <c r="J17" s="18" t="s">
        <v>315</v>
      </c>
      <c r="K17" s="18" t="s">
        <v>79</v>
      </c>
    </row>
    <row r="18" ht="31.5" customHeight="1">
      <c r="A18" s="21">
        <v>12.0</v>
      </c>
      <c r="B18" s="19" t="s">
        <v>317</v>
      </c>
      <c r="C18" s="33" t="s">
        <v>319</v>
      </c>
      <c r="D18" s="19" t="s">
        <v>306</v>
      </c>
      <c r="E18" s="21" t="s">
        <v>79</v>
      </c>
      <c r="F18" s="21" t="s">
        <v>126</v>
      </c>
      <c r="G18" s="19" t="s">
        <v>252</v>
      </c>
      <c r="H18" s="21" t="s">
        <v>81</v>
      </c>
      <c r="I18" s="19" t="s">
        <v>79</v>
      </c>
      <c r="J18" s="19" t="s">
        <v>321</v>
      </c>
      <c r="K18" s="19" t="s">
        <v>79</v>
      </c>
    </row>
    <row r="19" ht="31.5" customHeight="1">
      <c r="A19" s="20">
        <v>13.0</v>
      </c>
      <c r="B19" s="18" t="s">
        <v>323</v>
      </c>
      <c r="C19" s="31" t="s">
        <v>324</v>
      </c>
      <c r="D19" s="18" t="s">
        <v>259</v>
      </c>
      <c r="E19" s="20" t="s">
        <v>79</v>
      </c>
      <c r="F19" s="20" t="s">
        <v>126</v>
      </c>
      <c r="G19" s="18" t="s">
        <v>252</v>
      </c>
      <c r="H19" s="20" t="s">
        <v>81</v>
      </c>
      <c r="I19" s="18" t="s">
        <v>79</v>
      </c>
      <c r="J19" s="18" t="s">
        <v>326</v>
      </c>
      <c r="K19" s="18" t="s">
        <v>79</v>
      </c>
    </row>
    <row r="20" ht="31.5" customHeight="1">
      <c r="A20" s="21">
        <v>14.0</v>
      </c>
      <c r="B20" s="19" t="s">
        <v>155</v>
      </c>
      <c r="C20" s="33" t="s">
        <v>329</v>
      </c>
      <c r="D20" s="19" t="s">
        <v>330</v>
      </c>
      <c r="E20" s="21" t="s">
        <v>79</v>
      </c>
      <c r="F20" s="21" t="s">
        <v>81</v>
      </c>
      <c r="G20" s="19" t="s">
        <v>332</v>
      </c>
      <c r="H20" s="21" t="s">
        <v>81</v>
      </c>
      <c r="I20" s="19" t="s">
        <v>79</v>
      </c>
      <c r="J20" s="19" t="s">
        <v>335</v>
      </c>
      <c r="K20" s="19" t="s">
        <v>334</v>
      </c>
    </row>
    <row r="21" ht="31.5" customHeight="1">
      <c r="A21" s="20">
        <v>15.0</v>
      </c>
      <c r="B21" s="18" t="s">
        <v>338</v>
      </c>
      <c r="C21" s="31" t="s">
        <v>340</v>
      </c>
      <c r="D21" s="18" t="s">
        <v>276</v>
      </c>
      <c r="E21" s="20" t="s">
        <v>79</v>
      </c>
      <c r="F21" s="20" t="s">
        <v>126</v>
      </c>
      <c r="G21" s="18" t="s">
        <v>252</v>
      </c>
      <c r="H21" s="20" t="s">
        <v>81</v>
      </c>
      <c r="I21" s="18" t="s">
        <v>79</v>
      </c>
      <c r="J21" s="18" t="s">
        <v>345</v>
      </c>
      <c r="K21" s="18" t="s">
        <v>79</v>
      </c>
    </row>
    <row r="22" ht="31.5" customHeight="1">
      <c r="A22" s="21">
        <v>16.0</v>
      </c>
      <c r="B22" s="19" t="s">
        <v>346</v>
      </c>
      <c r="C22" s="33" t="s">
        <v>348</v>
      </c>
      <c r="D22" s="19" t="s">
        <v>276</v>
      </c>
      <c r="E22" s="21" t="s">
        <v>79</v>
      </c>
      <c r="F22" s="21" t="s">
        <v>126</v>
      </c>
      <c r="G22" s="19" t="s">
        <v>252</v>
      </c>
      <c r="H22" s="21" t="s">
        <v>81</v>
      </c>
      <c r="I22" s="19" t="s">
        <v>79</v>
      </c>
      <c r="J22" s="19" t="s">
        <v>354</v>
      </c>
      <c r="K22" s="19" t="s">
        <v>79</v>
      </c>
    </row>
    <row r="23" ht="31.5" customHeight="1">
      <c r="A23" s="20">
        <v>17.0</v>
      </c>
      <c r="B23" s="18" t="s">
        <v>356</v>
      </c>
      <c r="C23" s="31" t="s">
        <v>357</v>
      </c>
      <c r="D23" s="18" t="s">
        <v>306</v>
      </c>
      <c r="E23" s="20" t="s">
        <v>79</v>
      </c>
      <c r="F23" s="20" t="s">
        <v>126</v>
      </c>
      <c r="G23" s="18" t="s">
        <v>252</v>
      </c>
      <c r="H23" s="20" t="s">
        <v>81</v>
      </c>
      <c r="I23" s="18" t="s">
        <v>79</v>
      </c>
      <c r="J23" s="18" t="s">
        <v>361</v>
      </c>
      <c r="K23" s="18" t="s">
        <v>79</v>
      </c>
    </row>
    <row r="24" ht="31.5" customHeight="1">
      <c r="A24" s="21">
        <v>18.0</v>
      </c>
      <c r="B24" s="19" t="s">
        <v>363</v>
      </c>
      <c r="C24" s="33" t="s">
        <v>365</v>
      </c>
      <c r="D24" s="19" t="s">
        <v>276</v>
      </c>
      <c r="E24" s="21" t="s">
        <v>79</v>
      </c>
      <c r="F24" s="21" t="s">
        <v>126</v>
      </c>
      <c r="G24" s="19" t="s">
        <v>252</v>
      </c>
      <c r="H24" s="21" t="s">
        <v>81</v>
      </c>
      <c r="I24" s="19" t="s">
        <v>79</v>
      </c>
      <c r="J24" s="19" t="s">
        <v>368</v>
      </c>
      <c r="K24" s="19" t="s">
        <v>79</v>
      </c>
    </row>
    <row r="25" ht="31.5" customHeight="1">
      <c r="A25" s="20">
        <v>19.0</v>
      </c>
      <c r="B25" s="18" t="s">
        <v>370</v>
      </c>
      <c r="C25" s="31" t="s">
        <v>274</v>
      </c>
      <c r="D25" s="18" t="s">
        <v>276</v>
      </c>
      <c r="E25" s="20" t="s">
        <v>79</v>
      </c>
      <c r="F25" s="20" t="s">
        <v>81</v>
      </c>
      <c r="G25" s="18" t="s">
        <v>279</v>
      </c>
      <c r="H25" s="20" t="s">
        <v>81</v>
      </c>
      <c r="I25" s="18" t="s">
        <v>79</v>
      </c>
      <c r="J25" s="18" t="s">
        <v>373</v>
      </c>
      <c r="K25" s="18" t="s">
        <v>79</v>
      </c>
    </row>
    <row r="26" ht="39.75" customHeight="1">
      <c r="A26" s="21">
        <v>20.0</v>
      </c>
      <c r="B26" s="19" t="s">
        <v>284</v>
      </c>
      <c r="C26" s="33" t="s">
        <v>285</v>
      </c>
      <c r="D26" s="19" t="s">
        <v>276</v>
      </c>
      <c r="E26" s="21" t="s">
        <v>79</v>
      </c>
      <c r="F26" s="21" t="s">
        <v>81</v>
      </c>
      <c r="G26" s="19" t="s">
        <v>279</v>
      </c>
      <c r="H26" s="21" t="s">
        <v>81</v>
      </c>
      <c r="I26" s="19" t="s">
        <v>79</v>
      </c>
      <c r="J26" s="19" t="s">
        <v>286</v>
      </c>
      <c r="K26" s="19" t="s">
        <v>287</v>
      </c>
    </row>
    <row r="27" ht="45.0" customHeight="1">
      <c r="A27" s="20">
        <v>21.0</v>
      </c>
      <c r="B27" s="18" t="s">
        <v>575</v>
      </c>
      <c r="C27" s="31" t="s">
        <v>576</v>
      </c>
      <c r="D27" s="18" t="s">
        <v>367</v>
      </c>
      <c r="E27" s="20" t="s">
        <v>79</v>
      </c>
      <c r="F27" s="20" t="s">
        <v>126</v>
      </c>
      <c r="G27" s="18" t="s">
        <v>252</v>
      </c>
      <c r="H27" s="20" t="s">
        <v>81</v>
      </c>
      <c r="I27" s="18" t="s">
        <v>79</v>
      </c>
      <c r="J27" s="18" t="s">
        <v>577</v>
      </c>
      <c r="K27" s="18" t="s">
        <v>578</v>
      </c>
    </row>
    <row r="28" ht="45.0" customHeight="1">
      <c r="A28" s="21">
        <v>22.0</v>
      </c>
      <c r="B28" s="19" t="s">
        <v>579</v>
      </c>
      <c r="C28" s="33" t="s">
        <v>580</v>
      </c>
      <c r="D28" s="19" t="s">
        <v>367</v>
      </c>
      <c r="E28" s="21" t="s">
        <v>79</v>
      </c>
      <c r="F28" s="21" t="s">
        <v>126</v>
      </c>
      <c r="G28" s="19" t="s">
        <v>252</v>
      </c>
      <c r="H28" s="21" t="s">
        <v>81</v>
      </c>
      <c r="I28" s="19" t="s">
        <v>79</v>
      </c>
      <c r="J28" s="19" t="s">
        <v>581</v>
      </c>
      <c r="K28" s="19" t="s">
        <v>582</v>
      </c>
    </row>
    <row r="29" ht="45.0" customHeight="1">
      <c r="A29" s="20">
        <v>23.0</v>
      </c>
      <c r="B29" s="18" t="s">
        <v>583</v>
      </c>
      <c r="C29" s="31" t="s">
        <v>381</v>
      </c>
      <c r="D29" s="18" t="s">
        <v>377</v>
      </c>
      <c r="E29" s="20" t="s">
        <v>79</v>
      </c>
      <c r="F29" s="20" t="s">
        <v>126</v>
      </c>
      <c r="G29" s="18" t="s">
        <v>252</v>
      </c>
      <c r="H29" s="20" t="s">
        <v>81</v>
      </c>
      <c r="I29" s="18" t="s">
        <v>79</v>
      </c>
      <c r="J29" s="18" t="s">
        <v>584</v>
      </c>
      <c r="K29" s="18" t="s">
        <v>585</v>
      </c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30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37.5" customHeight="1">
      <c r="A32" s="14" t="s">
        <v>379</v>
      </c>
    </row>
    <row r="33" ht="30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30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30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30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30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30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2:K2"/>
    <mergeCell ref="A3:K3"/>
    <mergeCell ref="A5:K5"/>
    <mergeCell ref="A32:K3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27.0"/>
    <col customWidth="1" min="4" max="4" width="23.0"/>
    <col customWidth="1" min="5" max="5" width="16.0"/>
    <col customWidth="1" min="6" max="6" width="11.0"/>
    <col customWidth="1" min="7" max="7" width="24.0"/>
    <col customWidth="1" min="8" max="8" width="11.0"/>
    <col customWidth="1" min="9" max="9" width="34.0"/>
    <col customWidth="1" min="10" max="10" width="40.0"/>
    <col customWidth="1" min="11" max="11" width="31.0"/>
    <col customWidth="1" min="12" max="26" width="8.63"/>
  </cols>
  <sheetData>
    <row r="1" ht="39.75" customHeight="1">
      <c r="A1" s="1" t="s">
        <v>310</v>
      </c>
    </row>
    <row r="2" ht="37.5" customHeight="1">
      <c r="A2" s="14" t="s">
        <v>568</v>
      </c>
    </row>
    <row r="3" ht="37.5" customHeight="1">
      <c r="A3" s="15" t="s">
        <v>563</v>
      </c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4" t="s">
        <v>212</v>
      </c>
    </row>
    <row r="6" ht="34.5" customHeight="1">
      <c r="A6" s="17" t="s">
        <v>49</v>
      </c>
      <c r="B6" s="17" t="s">
        <v>564</v>
      </c>
      <c r="C6" s="17" t="s">
        <v>565</v>
      </c>
      <c r="D6" s="17" t="s">
        <v>220</v>
      </c>
      <c r="E6" s="17" t="s">
        <v>223</v>
      </c>
      <c r="F6" s="17" t="s">
        <v>225</v>
      </c>
      <c r="G6" s="17" t="s">
        <v>226</v>
      </c>
      <c r="H6" s="17" t="s">
        <v>228</v>
      </c>
      <c r="I6" s="17" t="s">
        <v>566</v>
      </c>
      <c r="J6" s="17" t="s">
        <v>229</v>
      </c>
      <c r="K6" s="17" t="s">
        <v>233</v>
      </c>
    </row>
    <row r="7" ht="31.5" customHeight="1">
      <c r="A7" s="20">
        <v>1.0</v>
      </c>
      <c r="B7" s="18" t="s">
        <v>103</v>
      </c>
      <c r="C7" s="31" t="s">
        <v>320</v>
      </c>
      <c r="D7" s="18" t="s">
        <v>246</v>
      </c>
      <c r="E7" s="32" t="s">
        <v>247</v>
      </c>
      <c r="F7" s="20" t="s">
        <v>81</v>
      </c>
      <c r="G7" s="18" t="s">
        <v>252</v>
      </c>
      <c r="H7" s="20" t="s">
        <v>126</v>
      </c>
      <c r="I7" s="18" t="s">
        <v>79</v>
      </c>
      <c r="J7" s="18" t="s">
        <v>322</v>
      </c>
      <c r="K7" s="18" t="s">
        <v>79</v>
      </c>
    </row>
    <row r="8" ht="31.5" customHeight="1">
      <c r="A8" s="21">
        <v>2.0</v>
      </c>
      <c r="B8" s="19" t="s">
        <v>88</v>
      </c>
      <c r="C8" s="33" t="s">
        <v>265</v>
      </c>
      <c r="D8" s="19" t="s">
        <v>246</v>
      </c>
      <c r="E8" s="32" t="s">
        <v>272</v>
      </c>
      <c r="F8" s="21" t="s">
        <v>81</v>
      </c>
      <c r="G8" s="19" t="s">
        <v>252</v>
      </c>
      <c r="H8" s="21" t="s">
        <v>81</v>
      </c>
      <c r="I8" s="19" t="s">
        <v>537</v>
      </c>
      <c r="J8" s="19" t="s">
        <v>327</v>
      </c>
      <c r="K8" s="19" t="s">
        <v>79</v>
      </c>
    </row>
    <row r="9" ht="31.5" customHeight="1">
      <c r="A9" s="20">
        <v>3.0</v>
      </c>
      <c r="B9" s="18" t="s">
        <v>175</v>
      </c>
      <c r="C9" s="31" t="s">
        <v>328</v>
      </c>
      <c r="D9" s="18" t="s">
        <v>330</v>
      </c>
      <c r="E9" s="20" t="s">
        <v>79</v>
      </c>
      <c r="F9" s="20" t="s">
        <v>81</v>
      </c>
      <c r="G9" s="18" t="s">
        <v>252</v>
      </c>
      <c r="H9" s="20" t="s">
        <v>81</v>
      </c>
      <c r="I9" s="18" t="s">
        <v>79</v>
      </c>
      <c r="J9" s="18" t="s">
        <v>333</v>
      </c>
      <c r="K9" s="18" t="s">
        <v>334</v>
      </c>
    </row>
    <row r="10" ht="31.5" customHeight="1">
      <c r="A10" s="21">
        <v>4.0</v>
      </c>
      <c r="B10" s="19" t="s">
        <v>336</v>
      </c>
      <c r="C10" s="33" t="s">
        <v>337</v>
      </c>
      <c r="D10" s="19" t="s">
        <v>281</v>
      </c>
      <c r="E10" s="21" t="s">
        <v>79</v>
      </c>
      <c r="F10" s="21" t="s">
        <v>81</v>
      </c>
      <c r="G10" s="19" t="s">
        <v>252</v>
      </c>
      <c r="H10" s="21" t="s">
        <v>81</v>
      </c>
      <c r="I10" s="19" t="s">
        <v>79</v>
      </c>
      <c r="J10" s="19" t="s">
        <v>341</v>
      </c>
      <c r="K10" s="19" t="s">
        <v>79</v>
      </c>
    </row>
    <row r="11" ht="31.5" customHeight="1">
      <c r="A11" s="20">
        <v>5.0</v>
      </c>
      <c r="B11" s="18" t="s">
        <v>343</v>
      </c>
      <c r="C11" s="31" t="s">
        <v>274</v>
      </c>
      <c r="D11" s="18" t="s">
        <v>276</v>
      </c>
      <c r="E11" s="20" t="s">
        <v>79</v>
      </c>
      <c r="F11" s="20" t="s">
        <v>81</v>
      </c>
      <c r="G11" s="18" t="s">
        <v>279</v>
      </c>
      <c r="H11" s="20" t="s">
        <v>81</v>
      </c>
      <c r="I11" s="18" t="s">
        <v>79</v>
      </c>
      <c r="J11" s="18" t="s">
        <v>349</v>
      </c>
      <c r="K11" s="18" t="s">
        <v>79</v>
      </c>
    </row>
    <row r="12" ht="30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30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37.5" customHeight="1">
      <c r="A14" s="14" t="s">
        <v>353</v>
      </c>
    </row>
    <row r="15" ht="30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30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30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3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2:K2"/>
    <mergeCell ref="A3:K3"/>
    <mergeCell ref="A5:K5"/>
    <mergeCell ref="A14:K1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27.0"/>
    <col customWidth="1" min="4" max="4" width="23.0"/>
    <col customWidth="1" min="5" max="5" width="16.0"/>
    <col customWidth="1" min="6" max="6" width="11.0"/>
    <col customWidth="1" min="7" max="7" width="24.0"/>
    <col customWidth="1" min="8" max="8" width="11.0"/>
    <col customWidth="1" min="9" max="9" width="34.0"/>
    <col customWidth="1" min="10" max="10" width="40.0"/>
    <col customWidth="1" min="11" max="11" width="31.0"/>
    <col customWidth="1" min="12" max="26" width="8.63"/>
  </cols>
  <sheetData>
    <row r="1" ht="39.75" customHeight="1">
      <c r="A1" s="1" t="s">
        <v>316</v>
      </c>
    </row>
    <row r="2" ht="37.5" customHeight="1">
      <c r="A2" s="14" t="s">
        <v>569</v>
      </c>
    </row>
    <row r="3" ht="37.5" customHeight="1">
      <c r="A3" s="15" t="s">
        <v>563</v>
      </c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4" t="s">
        <v>212</v>
      </c>
    </row>
    <row r="6" ht="34.5" customHeight="1">
      <c r="A6" s="17" t="s">
        <v>49</v>
      </c>
      <c r="B6" s="17" t="s">
        <v>564</v>
      </c>
      <c r="C6" s="17" t="s">
        <v>565</v>
      </c>
      <c r="D6" s="17" t="s">
        <v>220</v>
      </c>
      <c r="E6" s="17" t="s">
        <v>223</v>
      </c>
      <c r="F6" s="17" t="s">
        <v>225</v>
      </c>
      <c r="G6" s="17" t="s">
        <v>226</v>
      </c>
      <c r="H6" s="17" t="s">
        <v>228</v>
      </c>
      <c r="I6" s="17" t="s">
        <v>566</v>
      </c>
      <c r="J6" s="17" t="s">
        <v>229</v>
      </c>
      <c r="K6" s="17" t="s">
        <v>233</v>
      </c>
    </row>
    <row r="7" ht="31.5" customHeight="1">
      <c r="A7" s="20">
        <v>1.0</v>
      </c>
      <c r="B7" s="18" t="s">
        <v>112</v>
      </c>
      <c r="C7" s="31" t="s">
        <v>331</v>
      </c>
      <c r="D7" s="18" t="s">
        <v>246</v>
      </c>
      <c r="E7" s="32" t="s">
        <v>247</v>
      </c>
      <c r="F7" s="20" t="s">
        <v>81</v>
      </c>
      <c r="G7" s="18" t="s">
        <v>252</v>
      </c>
      <c r="H7" s="20" t="s">
        <v>126</v>
      </c>
      <c r="I7" s="18" t="s">
        <v>79</v>
      </c>
      <c r="J7" s="18" t="s">
        <v>339</v>
      </c>
      <c r="K7" s="18" t="s">
        <v>79</v>
      </c>
    </row>
    <row r="8" ht="31.5" customHeight="1">
      <c r="A8" s="21">
        <v>2.0</v>
      </c>
      <c r="B8" s="19" t="s">
        <v>166</v>
      </c>
      <c r="C8" s="33" t="s">
        <v>342</v>
      </c>
      <c r="D8" s="19" t="s">
        <v>330</v>
      </c>
      <c r="E8" s="21" t="s">
        <v>344</v>
      </c>
      <c r="F8" s="21" t="s">
        <v>81</v>
      </c>
      <c r="G8" s="19" t="s">
        <v>252</v>
      </c>
      <c r="H8" s="21" t="s">
        <v>81</v>
      </c>
      <c r="I8" s="19" t="s">
        <v>79</v>
      </c>
      <c r="J8" s="19" t="s">
        <v>347</v>
      </c>
      <c r="K8" s="19" t="s">
        <v>334</v>
      </c>
    </row>
    <row r="9" ht="31.5" customHeight="1">
      <c r="A9" s="20">
        <v>3.0</v>
      </c>
      <c r="B9" s="18" t="s">
        <v>350</v>
      </c>
      <c r="C9" s="31" t="s">
        <v>351</v>
      </c>
      <c r="D9" s="18" t="s">
        <v>352</v>
      </c>
      <c r="E9" s="20" t="s">
        <v>344</v>
      </c>
      <c r="F9" s="20" t="s">
        <v>81</v>
      </c>
      <c r="G9" s="18" t="s">
        <v>252</v>
      </c>
      <c r="H9" s="20" t="s">
        <v>81</v>
      </c>
      <c r="I9" s="18" t="s">
        <v>79</v>
      </c>
      <c r="J9" s="18" t="s">
        <v>355</v>
      </c>
      <c r="K9" s="18" t="s">
        <v>334</v>
      </c>
    </row>
    <row r="10" ht="31.5" customHeight="1">
      <c r="A10" s="21">
        <v>4.0</v>
      </c>
      <c r="B10" s="19" t="s">
        <v>358</v>
      </c>
      <c r="C10" s="33" t="s">
        <v>359</v>
      </c>
      <c r="D10" s="19" t="s">
        <v>360</v>
      </c>
      <c r="E10" s="21" t="s">
        <v>344</v>
      </c>
      <c r="F10" s="21" t="s">
        <v>81</v>
      </c>
      <c r="G10" s="19" t="s">
        <v>252</v>
      </c>
      <c r="H10" s="21" t="s">
        <v>81</v>
      </c>
      <c r="I10" s="19" t="s">
        <v>79</v>
      </c>
      <c r="J10" s="19" t="s">
        <v>362</v>
      </c>
      <c r="K10" s="19" t="s">
        <v>334</v>
      </c>
    </row>
    <row r="11" ht="31.5" customHeight="1">
      <c r="A11" s="20">
        <v>5.0</v>
      </c>
      <c r="B11" s="18" t="s">
        <v>364</v>
      </c>
      <c r="C11" s="31" t="s">
        <v>366</v>
      </c>
      <c r="D11" s="18" t="s">
        <v>367</v>
      </c>
      <c r="E11" s="20" t="s">
        <v>79</v>
      </c>
      <c r="F11" s="20" t="s">
        <v>126</v>
      </c>
      <c r="G11" s="18" t="s">
        <v>252</v>
      </c>
      <c r="H11" s="20" t="s">
        <v>81</v>
      </c>
      <c r="I11" s="18" t="s">
        <v>79</v>
      </c>
      <c r="J11" s="18" t="s">
        <v>364</v>
      </c>
      <c r="K11" s="18" t="s">
        <v>79</v>
      </c>
    </row>
    <row r="12" ht="31.5" customHeight="1">
      <c r="A12" s="21">
        <v>6.0</v>
      </c>
      <c r="B12" s="19" t="s">
        <v>369</v>
      </c>
      <c r="C12" s="33" t="s">
        <v>371</v>
      </c>
      <c r="D12" s="19" t="s">
        <v>372</v>
      </c>
      <c r="E12" s="21" t="s">
        <v>79</v>
      </c>
      <c r="F12" s="21" t="s">
        <v>126</v>
      </c>
      <c r="G12" s="19" t="s">
        <v>252</v>
      </c>
      <c r="H12" s="21" t="s">
        <v>81</v>
      </c>
      <c r="I12" s="19" t="s">
        <v>79</v>
      </c>
      <c r="J12" s="19" t="s">
        <v>374</v>
      </c>
      <c r="K12" s="19" t="s">
        <v>79</v>
      </c>
    </row>
    <row r="13" ht="31.5" customHeight="1">
      <c r="A13" s="20">
        <v>7.0</v>
      </c>
      <c r="B13" s="18" t="s">
        <v>375</v>
      </c>
      <c r="C13" s="31" t="s">
        <v>376</v>
      </c>
      <c r="D13" s="18" t="s">
        <v>377</v>
      </c>
      <c r="E13" s="20" t="s">
        <v>79</v>
      </c>
      <c r="F13" s="20" t="s">
        <v>126</v>
      </c>
      <c r="G13" s="18" t="s">
        <v>252</v>
      </c>
      <c r="H13" s="20" t="s">
        <v>81</v>
      </c>
      <c r="I13" s="18" t="s">
        <v>79</v>
      </c>
      <c r="J13" s="18" t="s">
        <v>378</v>
      </c>
      <c r="K13" s="18" t="s">
        <v>79</v>
      </c>
    </row>
    <row r="14" ht="31.5" customHeight="1">
      <c r="A14" s="21">
        <v>8.0</v>
      </c>
      <c r="B14" s="19" t="s">
        <v>380</v>
      </c>
      <c r="C14" s="33" t="s">
        <v>381</v>
      </c>
      <c r="D14" s="19" t="s">
        <v>377</v>
      </c>
      <c r="E14" s="21" t="s">
        <v>79</v>
      </c>
      <c r="F14" s="21" t="s">
        <v>126</v>
      </c>
      <c r="G14" s="19" t="s">
        <v>252</v>
      </c>
      <c r="H14" s="21" t="s">
        <v>81</v>
      </c>
      <c r="I14" s="19" t="s">
        <v>79</v>
      </c>
      <c r="J14" s="19" t="s">
        <v>384</v>
      </c>
      <c r="K14" s="19" t="s">
        <v>79</v>
      </c>
    </row>
    <row r="15" ht="31.5" customHeight="1">
      <c r="A15" s="20">
        <v>9.0</v>
      </c>
      <c r="B15" s="18" t="s">
        <v>385</v>
      </c>
      <c r="C15" s="31" t="s">
        <v>386</v>
      </c>
      <c r="D15" s="18" t="s">
        <v>306</v>
      </c>
      <c r="E15" s="20" t="s">
        <v>79</v>
      </c>
      <c r="F15" s="20" t="s">
        <v>126</v>
      </c>
      <c r="G15" s="18" t="s">
        <v>252</v>
      </c>
      <c r="H15" s="20" t="s">
        <v>81</v>
      </c>
      <c r="I15" s="18" t="s">
        <v>79</v>
      </c>
      <c r="J15" s="18" t="s">
        <v>388</v>
      </c>
      <c r="K15" s="18" t="s">
        <v>79</v>
      </c>
    </row>
    <row r="16" ht="31.5" customHeight="1">
      <c r="A16" s="21">
        <v>10.0</v>
      </c>
      <c r="B16" s="19" t="s">
        <v>390</v>
      </c>
      <c r="C16" s="33" t="s">
        <v>391</v>
      </c>
      <c r="D16" s="19" t="s">
        <v>264</v>
      </c>
      <c r="E16" s="21" t="s">
        <v>79</v>
      </c>
      <c r="F16" s="21" t="s">
        <v>126</v>
      </c>
      <c r="G16" s="19" t="s">
        <v>252</v>
      </c>
      <c r="H16" s="21" t="s">
        <v>81</v>
      </c>
      <c r="I16" s="19" t="s">
        <v>79</v>
      </c>
      <c r="J16" s="19" t="s">
        <v>395</v>
      </c>
      <c r="K16" s="19" t="s">
        <v>79</v>
      </c>
    </row>
    <row r="17" ht="31.5" customHeight="1">
      <c r="A17" s="20">
        <v>11.0</v>
      </c>
      <c r="B17" s="18" t="s">
        <v>397</v>
      </c>
      <c r="C17" s="31" t="s">
        <v>398</v>
      </c>
      <c r="D17" s="18" t="s">
        <v>399</v>
      </c>
      <c r="E17" s="20" t="s">
        <v>79</v>
      </c>
      <c r="F17" s="20" t="s">
        <v>126</v>
      </c>
      <c r="G17" s="18" t="s">
        <v>252</v>
      </c>
      <c r="H17" s="20" t="s">
        <v>81</v>
      </c>
      <c r="I17" s="18" t="s">
        <v>79</v>
      </c>
      <c r="J17" s="18" t="s">
        <v>402</v>
      </c>
      <c r="K17" s="18" t="s">
        <v>79</v>
      </c>
    </row>
    <row r="18" ht="31.5" customHeight="1">
      <c r="A18" s="21">
        <v>12.0</v>
      </c>
      <c r="B18" s="19" t="s">
        <v>404</v>
      </c>
      <c r="C18" s="33" t="s">
        <v>405</v>
      </c>
      <c r="D18" s="19" t="s">
        <v>264</v>
      </c>
      <c r="E18" s="21" t="s">
        <v>79</v>
      </c>
      <c r="F18" s="21" t="s">
        <v>126</v>
      </c>
      <c r="G18" s="19" t="s">
        <v>252</v>
      </c>
      <c r="H18" s="21" t="s">
        <v>81</v>
      </c>
      <c r="I18" s="19" t="s">
        <v>79</v>
      </c>
      <c r="J18" s="19" t="s">
        <v>407</v>
      </c>
      <c r="K18" s="19" t="s">
        <v>79</v>
      </c>
    </row>
    <row r="19" ht="31.5" customHeight="1">
      <c r="A19" s="20">
        <v>13.0</v>
      </c>
      <c r="B19" s="18" t="s">
        <v>408</v>
      </c>
      <c r="C19" s="31" t="s">
        <v>409</v>
      </c>
      <c r="D19" s="18" t="s">
        <v>410</v>
      </c>
      <c r="E19" s="20" t="s">
        <v>79</v>
      </c>
      <c r="F19" s="20" t="s">
        <v>126</v>
      </c>
      <c r="G19" s="18" t="s">
        <v>252</v>
      </c>
      <c r="H19" s="20" t="s">
        <v>81</v>
      </c>
      <c r="I19" s="18" t="s">
        <v>79</v>
      </c>
      <c r="J19" s="18" t="s">
        <v>413</v>
      </c>
      <c r="K19" s="18" t="s">
        <v>79</v>
      </c>
    </row>
    <row r="20" ht="31.5" customHeight="1">
      <c r="A20" s="21">
        <v>14.0</v>
      </c>
      <c r="B20" s="19" t="s">
        <v>414</v>
      </c>
      <c r="C20" s="33" t="s">
        <v>280</v>
      </c>
      <c r="D20" s="19" t="s">
        <v>281</v>
      </c>
      <c r="E20" s="21" t="s">
        <v>79</v>
      </c>
      <c r="F20" s="21" t="s">
        <v>126</v>
      </c>
      <c r="G20" s="19" t="s">
        <v>252</v>
      </c>
      <c r="H20" s="21" t="s">
        <v>81</v>
      </c>
      <c r="I20" s="19" t="s">
        <v>79</v>
      </c>
      <c r="J20" s="19" t="s">
        <v>418</v>
      </c>
      <c r="K20" s="19" t="s">
        <v>79</v>
      </c>
    </row>
    <row r="21" ht="31.5" customHeight="1">
      <c r="A21" s="20">
        <v>15.0</v>
      </c>
      <c r="B21" s="18" t="s">
        <v>419</v>
      </c>
      <c r="C21" s="31" t="s">
        <v>420</v>
      </c>
      <c r="D21" s="18" t="s">
        <v>276</v>
      </c>
      <c r="E21" s="20" t="s">
        <v>79</v>
      </c>
      <c r="F21" s="20" t="s">
        <v>126</v>
      </c>
      <c r="G21" s="18" t="s">
        <v>252</v>
      </c>
      <c r="H21" s="20" t="s">
        <v>81</v>
      </c>
      <c r="I21" s="18" t="s">
        <v>79</v>
      </c>
      <c r="J21" s="18" t="s">
        <v>422</v>
      </c>
      <c r="K21" s="18" t="s">
        <v>79</v>
      </c>
    </row>
    <row r="22" ht="31.5" customHeight="1">
      <c r="A22" s="21">
        <v>16.0</v>
      </c>
      <c r="B22" s="19" t="s">
        <v>424</v>
      </c>
      <c r="C22" s="33" t="s">
        <v>425</v>
      </c>
      <c r="D22" s="19" t="s">
        <v>276</v>
      </c>
      <c r="E22" s="21" t="s">
        <v>79</v>
      </c>
      <c r="F22" s="21" t="s">
        <v>81</v>
      </c>
      <c r="G22" s="19" t="s">
        <v>279</v>
      </c>
      <c r="H22" s="21" t="s">
        <v>81</v>
      </c>
      <c r="I22" s="19" t="s">
        <v>79</v>
      </c>
      <c r="J22" s="19" t="s">
        <v>430</v>
      </c>
      <c r="K22" s="19" t="s">
        <v>79</v>
      </c>
    </row>
    <row r="23" ht="31.5" customHeight="1">
      <c r="A23" s="20">
        <v>17.0</v>
      </c>
      <c r="B23" s="18" t="s">
        <v>433</v>
      </c>
      <c r="C23" s="31" t="s">
        <v>434</v>
      </c>
      <c r="D23" s="18" t="s">
        <v>276</v>
      </c>
      <c r="E23" s="20" t="s">
        <v>79</v>
      </c>
      <c r="F23" s="20" t="s">
        <v>81</v>
      </c>
      <c r="G23" s="18" t="s">
        <v>279</v>
      </c>
      <c r="H23" s="20" t="s">
        <v>81</v>
      </c>
      <c r="I23" s="18" t="s">
        <v>79</v>
      </c>
      <c r="J23" s="18" t="s">
        <v>437</v>
      </c>
      <c r="K23" s="18" t="s">
        <v>79</v>
      </c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37.5" customHeight="1">
      <c r="A26" s="14" t="s">
        <v>440</v>
      </c>
    </row>
    <row r="27" ht="30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30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30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30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30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30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2:K2"/>
    <mergeCell ref="A3:K3"/>
    <mergeCell ref="A5:K5"/>
    <mergeCell ref="A26:K2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27.0"/>
    <col customWidth="1" min="4" max="4" width="23.0"/>
    <col customWidth="1" min="5" max="5" width="16.0"/>
    <col customWidth="1" min="6" max="6" width="11.0"/>
    <col customWidth="1" min="7" max="7" width="24.0"/>
    <col customWidth="1" min="8" max="8" width="11.0"/>
    <col customWidth="1" min="9" max="9" width="34.0"/>
    <col customWidth="1" min="10" max="10" width="40.0"/>
    <col customWidth="1" min="11" max="11" width="31.0"/>
    <col customWidth="1" min="12" max="26" width="8.63"/>
  </cols>
  <sheetData>
    <row r="1" ht="39.75" customHeight="1">
      <c r="A1" s="1" t="s">
        <v>382</v>
      </c>
    </row>
    <row r="2" ht="37.5" customHeight="1">
      <c r="A2" s="14" t="s">
        <v>570</v>
      </c>
    </row>
    <row r="3" ht="37.5" customHeight="1">
      <c r="A3" s="15" t="s">
        <v>563</v>
      </c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4" t="s">
        <v>212</v>
      </c>
    </row>
    <row r="6" ht="34.5" customHeight="1">
      <c r="A6" s="17" t="s">
        <v>49</v>
      </c>
      <c r="B6" s="17" t="s">
        <v>564</v>
      </c>
      <c r="C6" s="17" t="s">
        <v>565</v>
      </c>
      <c r="D6" s="17" t="s">
        <v>220</v>
      </c>
      <c r="E6" s="17" t="s">
        <v>223</v>
      </c>
      <c r="F6" s="17" t="s">
        <v>225</v>
      </c>
      <c r="G6" s="17" t="s">
        <v>226</v>
      </c>
      <c r="H6" s="17" t="s">
        <v>228</v>
      </c>
      <c r="I6" s="17" t="s">
        <v>566</v>
      </c>
      <c r="J6" s="17" t="s">
        <v>229</v>
      </c>
      <c r="K6" s="17" t="s">
        <v>233</v>
      </c>
    </row>
    <row r="7" ht="31.5" customHeight="1">
      <c r="A7" s="20">
        <v>1.0</v>
      </c>
      <c r="B7" s="18" t="s">
        <v>118</v>
      </c>
      <c r="C7" s="31" t="s">
        <v>387</v>
      </c>
      <c r="D7" s="18" t="s">
        <v>246</v>
      </c>
      <c r="E7" s="32" t="s">
        <v>247</v>
      </c>
      <c r="F7" s="20" t="s">
        <v>81</v>
      </c>
      <c r="G7" s="18" t="s">
        <v>252</v>
      </c>
      <c r="H7" s="20" t="s">
        <v>126</v>
      </c>
      <c r="I7" s="18" t="s">
        <v>79</v>
      </c>
      <c r="J7" s="18" t="s">
        <v>389</v>
      </c>
      <c r="K7" s="18" t="s">
        <v>79</v>
      </c>
    </row>
    <row r="8" ht="31.5" customHeight="1">
      <c r="A8" s="21">
        <v>2.0</v>
      </c>
      <c r="B8" s="19" t="s">
        <v>88</v>
      </c>
      <c r="C8" s="33" t="s">
        <v>265</v>
      </c>
      <c r="D8" s="19" t="s">
        <v>246</v>
      </c>
      <c r="E8" s="32" t="s">
        <v>392</v>
      </c>
      <c r="F8" s="21" t="s">
        <v>81</v>
      </c>
      <c r="G8" s="19" t="s">
        <v>252</v>
      </c>
      <c r="H8" s="21" t="s">
        <v>81</v>
      </c>
      <c r="I8" s="19" t="s">
        <v>537</v>
      </c>
      <c r="J8" s="19" t="s">
        <v>393</v>
      </c>
      <c r="K8" s="19" t="s">
        <v>79</v>
      </c>
    </row>
    <row r="9" ht="31.5" customHeight="1">
      <c r="A9" s="20">
        <v>3.0</v>
      </c>
      <c r="B9" s="18" t="s">
        <v>394</v>
      </c>
      <c r="C9" s="31" t="s">
        <v>396</v>
      </c>
      <c r="D9" s="18" t="s">
        <v>306</v>
      </c>
      <c r="E9" s="20" t="s">
        <v>344</v>
      </c>
      <c r="F9" s="20" t="s">
        <v>81</v>
      </c>
      <c r="G9" s="18" t="s">
        <v>252</v>
      </c>
      <c r="H9" s="20" t="s">
        <v>81</v>
      </c>
      <c r="I9" s="18" t="s">
        <v>79</v>
      </c>
      <c r="J9" s="18" t="s">
        <v>400</v>
      </c>
      <c r="K9" s="18" t="s">
        <v>79</v>
      </c>
    </row>
    <row r="10" ht="31.5" customHeight="1">
      <c r="A10" s="21">
        <v>4.0</v>
      </c>
      <c r="B10" s="19" t="s">
        <v>401</v>
      </c>
      <c r="C10" s="33" t="s">
        <v>403</v>
      </c>
      <c r="D10" s="19" t="s">
        <v>259</v>
      </c>
      <c r="E10" s="21" t="s">
        <v>79</v>
      </c>
      <c r="F10" s="21" t="s">
        <v>81</v>
      </c>
      <c r="G10" s="19" t="s">
        <v>252</v>
      </c>
      <c r="H10" s="21" t="s">
        <v>81</v>
      </c>
      <c r="I10" s="19" t="s">
        <v>79</v>
      </c>
      <c r="J10" s="19" t="s">
        <v>406</v>
      </c>
      <c r="K10" s="19" t="s">
        <v>79</v>
      </c>
    </row>
    <row r="11" ht="31.5" customHeight="1">
      <c r="A11" s="20">
        <v>5.0</v>
      </c>
      <c r="B11" s="18" t="s">
        <v>267</v>
      </c>
      <c r="C11" s="31" t="s">
        <v>268</v>
      </c>
      <c r="D11" s="18" t="s">
        <v>269</v>
      </c>
      <c r="E11" s="20" t="s">
        <v>79</v>
      </c>
      <c r="F11" s="20" t="s">
        <v>81</v>
      </c>
      <c r="G11" s="18" t="s">
        <v>252</v>
      </c>
      <c r="H11" s="20" t="s">
        <v>81</v>
      </c>
      <c r="I11" s="18" t="s">
        <v>79</v>
      </c>
      <c r="J11" s="18" t="s">
        <v>411</v>
      </c>
      <c r="K11" s="18" t="s">
        <v>79</v>
      </c>
    </row>
    <row r="12" ht="31.5" customHeight="1">
      <c r="A12" s="21">
        <v>6.0</v>
      </c>
      <c r="B12" s="19" t="s">
        <v>412</v>
      </c>
      <c r="C12" s="33" t="s">
        <v>371</v>
      </c>
      <c r="D12" s="19" t="s">
        <v>264</v>
      </c>
      <c r="E12" s="21" t="s">
        <v>79</v>
      </c>
      <c r="F12" s="21" t="s">
        <v>81</v>
      </c>
      <c r="G12" s="19" t="s">
        <v>252</v>
      </c>
      <c r="H12" s="21" t="s">
        <v>81</v>
      </c>
      <c r="I12" s="19" t="s">
        <v>79</v>
      </c>
      <c r="J12" s="19" t="s">
        <v>415</v>
      </c>
      <c r="K12" s="19" t="s">
        <v>79</v>
      </c>
    </row>
    <row r="13" ht="31.5" customHeight="1">
      <c r="A13" s="20">
        <v>7.0</v>
      </c>
      <c r="B13" s="18" t="s">
        <v>416</v>
      </c>
      <c r="C13" s="31" t="s">
        <v>417</v>
      </c>
      <c r="D13" s="18" t="s">
        <v>281</v>
      </c>
      <c r="E13" s="20" t="s">
        <v>79</v>
      </c>
      <c r="F13" s="20" t="s">
        <v>81</v>
      </c>
      <c r="G13" s="18" t="s">
        <v>252</v>
      </c>
      <c r="H13" s="20" t="s">
        <v>81</v>
      </c>
      <c r="I13" s="18" t="s">
        <v>79</v>
      </c>
      <c r="J13" s="18" t="s">
        <v>421</v>
      </c>
      <c r="K13" s="18" t="s">
        <v>79</v>
      </c>
    </row>
    <row r="14" ht="39.75" customHeight="1">
      <c r="A14" s="21">
        <v>8.0</v>
      </c>
      <c r="B14" s="19" t="s">
        <v>181</v>
      </c>
      <c r="C14" s="33" t="s">
        <v>329</v>
      </c>
      <c r="D14" s="19" t="s">
        <v>330</v>
      </c>
      <c r="E14" s="21" t="s">
        <v>79</v>
      </c>
      <c r="F14" s="21" t="s">
        <v>81</v>
      </c>
      <c r="G14" s="19" t="s">
        <v>423</v>
      </c>
      <c r="H14" s="21" t="s">
        <v>81</v>
      </c>
      <c r="I14" s="19" t="s">
        <v>79</v>
      </c>
      <c r="J14" s="19" t="s">
        <v>426</v>
      </c>
      <c r="K14" s="19" t="s">
        <v>334</v>
      </c>
    </row>
    <row r="15" ht="31.5" customHeight="1">
      <c r="A15" s="20">
        <v>9.0</v>
      </c>
      <c r="B15" s="18" t="s">
        <v>427</v>
      </c>
      <c r="C15" s="31" t="s">
        <v>428</v>
      </c>
      <c r="D15" s="18" t="s">
        <v>431</v>
      </c>
      <c r="E15" s="20" t="s">
        <v>79</v>
      </c>
      <c r="F15" s="20" t="s">
        <v>81</v>
      </c>
      <c r="G15" s="18" t="s">
        <v>201</v>
      </c>
      <c r="H15" s="20" t="s">
        <v>81</v>
      </c>
      <c r="I15" s="18" t="s">
        <v>79</v>
      </c>
      <c r="J15" s="18" t="s">
        <v>435</v>
      </c>
      <c r="K15" s="18" t="s">
        <v>79</v>
      </c>
    </row>
    <row r="16" ht="31.5" customHeight="1">
      <c r="A16" s="21">
        <v>10.0</v>
      </c>
      <c r="B16" s="19" t="s">
        <v>436</v>
      </c>
      <c r="C16" s="33" t="s">
        <v>438</v>
      </c>
      <c r="D16" s="19" t="s">
        <v>439</v>
      </c>
      <c r="E16" s="21" t="s">
        <v>79</v>
      </c>
      <c r="F16" s="21" t="s">
        <v>126</v>
      </c>
      <c r="G16" s="19" t="s">
        <v>252</v>
      </c>
      <c r="H16" s="21" t="s">
        <v>81</v>
      </c>
      <c r="I16" s="19" t="s">
        <v>79</v>
      </c>
      <c r="J16" s="19" t="s">
        <v>441</v>
      </c>
      <c r="K16" s="19" t="s">
        <v>79</v>
      </c>
    </row>
    <row r="17" ht="39.75" customHeight="1">
      <c r="A17" s="20">
        <v>11.0</v>
      </c>
      <c r="B17" s="18" t="s">
        <v>442</v>
      </c>
      <c r="C17" s="31" t="s">
        <v>443</v>
      </c>
      <c r="D17" s="18" t="s">
        <v>276</v>
      </c>
      <c r="E17" s="20" t="s">
        <v>79</v>
      </c>
      <c r="F17" s="20" t="s">
        <v>126</v>
      </c>
      <c r="G17" s="18" t="s">
        <v>252</v>
      </c>
      <c r="H17" s="20" t="s">
        <v>81</v>
      </c>
      <c r="I17" s="18" t="s">
        <v>79</v>
      </c>
      <c r="J17" s="18" t="s">
        <v>445</v>
      </c>
      <c r="K17" s="18" t="s">
        <v>79</v>
      </c>
    </row>
    <row r="18" ht="31.5" customHeight="1">
      <c r="A18" s="21">
        <v>12.0</v>
      </c>
      <c r="B18" s="19" t="s">
        <v>370</v>
      </c>
      <c r="C18" s="33" t="s">
        <v>274</v>
      </c>
      <c r="D18" s="19" t="s">
        <v>276</v>
      </c>
      <c r="E18" s="21" t="s">
        <v>79</v>
      </c>
      <c r="F18" s="21" t="s">
        <v>81</v>
      </c>
      <c r="G18" s="19" t="s">
        <v>279</v>
      </c>
      <c r="H18" s="21" t="s">
        <v>81</v>
      </c>
      <c r="I18" s="19" t="s">
        <v>79</v>
      </c>
      <c r="J18" s="19" t="s">
        <v>447</v>
      </c>
      <c r="K18" s="19" t="s">
        <v>79</v>
      </c>
    </row>
    <row r="19" ht="39.75" customHeight="1">
      <c r="A19" s="20">
        <v>13.0</v>
      </c>
      <c r="B19" s="18" t="s">
        <v>284</v>
      </c>
      <c r="C19" s="31" t="s">
        <v>285</v>
      </c>
      <c r="D19" s="18" t="s">
        <v>276</v>
      </c>
      <c r="E19" s="20" t="s">
        <v>79</v>
      </c>
      <c r="F19" s="20" t="s">
        <v>81</v>
      </c>
      <c r="G19" s="18" t="s">
        <v>279</v>
      </c>
      <c r="H19" s="20" t="s">
        <v>81</v>
      </c>
      <c r="I19" s="18" t="s">
        <v>79</v>
      </c>
      <c r="J19" s="18" t="s">
        <v>286</v>
      </c>
      <c r="K19" s="18" t="s">
        <v>287</v>
      </c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37.5" customHeight="1">
      <c r="A22" s="14" t="s">
        <v>451</v>
      </c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30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30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30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2:K2"/>
    <mergeCell ref="A3:K3"/>
    <mergeCell ref="A5:K5"/>
    <mergeCell ref="A22:K2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27.0"/>
    <col customWidth="1" min="4" max="4" width="23.0"/>
    <col customWidth="1" min="5" max="5" width="16.0"/>
    <col customWidth="1" min="6" max="6" width="11.0"/>
    <col customWidth="1" min="7" max="7" width="24.0"/>
    <col customWidth="1" min="8" max="8" width="11.0"/>
    <col customWidth="1" min="9" max="9" width="34.0"/>
    <col customWidth="1" min="10" max="10" width="40.0"/>
    <col customWidth="1" min="11" max="11" width="31.0"/>
    <col customWidth="1" min="12" max="26" width="8.63"/>
  </cols>
  <sheetData>
    <row r="1" ht="39.75" customHeight="1">
      <c r="A1" s="1" t="s">
        <v>429</v>
      </c>
    </row>
    <row r="2" ht="37.5" customHeight="1">
      <c r="A2" s="14" t="s">
        <v>571</v>
      </c>
    </row>
    <row r="3" ht="37.5" customHeight="1">
      <c r="A3" s="15" t="s">
        <v>563</v>
      </c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4" t="s">
        <v>212</v>
      </c>
    </row>
    <row r="6" ht="34.5" customHeight="1">
      <c r="A6" s="17" t="s">
        <v>49</v>
      </c>
      <c r="B6" s="17" t="s">
        <v>564</v>
      </c>
      <c r="C6" s="17" t="s">
        <v>565</v>
      </c>
      <c r="D6" s="17" t="s">
        <v>220</v>
      </c>
      <c r="E6" s="17" t="s">
        <v>223</v>
      </c>
      <c r="F6" s="17" t="s">
        <v>225</v>
      </c>
      <c r="G6" s="17" t="s">
        <v>226</v>
      </c>
      <c r="H6" s="17" t="s">
        <v>228</v>
      </c>
      <c r="I6" s="17" t="s">
        <v>566</v>
      </c>
      <c r="J6" s="17" t="s">
        <v>229</v>
      </c>
      <c r="K6" s="17" t="s">
        <v>233</v>
      </c>
    </row>
    <row r="7" ht="31.5" customHeight="1">
      <c r="A7" s="20">
        <v>1.0</v>
      </c>
      <c r="B7" s="18" t="s">
        <v>123</v>
      </c>
      <c r="C7" s="31" t="s">
        <v>444</v>
      </c>
      <c r="D7" s="18" t="s">
        <v>246</v>
      </c>
      <c r="E7" s="32" t="s">
        <v>247</v>
      </c>
      <c r="F7" s="20" t="s">
        <v>81</v>
      </c>
      <c r="G7" s="18" t="s">
        <v>252</v>
      </c>
      <c r="H7" s="20" t="s">
        <v>126</v>
      </c>
      <c r="I7" s="18" t="s">
        <v>79</v>
      </c>
      <c r="J7" s="18" t="s">
        <v>446</v>
      </c>
      <c r="K7" s="18" t="s">
        <v>79</v>
      </c>
    </row>
    <row r="8" ht="31.5" customHeight="1">
      <c r="A8" s="21">
        <v>2.0</v>
      </c>
      <c r="B8" s="19" t="s">
        <v>88</v>
      </c>
      <c r="C8" s="33" t="s">
        <v>265</v>
      </c>
      <c r="D8" s="19" t="s">
        <v>246</v>
      </c>
      <c r="E8" s="32" t="s">
        <v>392</v>
      </c>
      <c r="F8" s="21" t="s">
        <v>81</v>
      </c>
      <c r="G8" s="19" t="s">
        <v>252</v>
      </c>
      <c r="H8" s="21" t="s">
        <v>81</v>
      </c>
      <c r="I8" s="19" t="s">
        <v>537</v>
      </c>
      <c r="J8" s="19" t="s">
        <v>448</v>
      </c>
      <c r="K8" s="19" t="s">
        <v>79</v>
      </c>
    </row>
    <row r="9" ht="31.5" customHeight="1">
      <c r="A9" s="20">
        <v>3.0</v>
      </c>
      <c r="B9" s="18" t="s">
        <v>112</v>
      </c>
      <c r="C9" s="31" t="s">
        <v>331</v>
      </c>
      <c r="D9" s="18" t="s">
        <v>246</v>
      </c>
      <c r="E9" s="32" t="s">
        <v>392</v>
      </c>
      <c r="F9" s="20" t="s">
        <v>81</v>
      </c>
      <c r="G9" s="18" t="s">
        <v>252</v>
      </c>
      <c r="H9" s="20" t="s">
        <v>81</v>
      </c>
      <c r="I9" s="18" t="s">
        <v>538</v>
      </c>
      <c r="J9" s="18" t="s">
        <v>450</v>
      </c>
      <c r="K9" s="18" t="s">
        <v>79</v>
      </c>
    </row>
    <row r="10" ht="31.5" customHeight="1">
      <c r="A10" s="21">
        <v>4.0</v>
      </c>
      <c r="B10" s="19" t="s">
        <v>452</v>
      </c>
      <c r="C10" s="33" t="s">
        <v>453</v>
      </c>
      <c r="D10" s="19" t="s">
        <v>431</v>
      </c>
      <c r="E10" s="21" t="s">
        <v>79</v>
      </c>
      <c r="F10" s="21" t="s">
        <v>126</v>
      </c>
      <c r="G10" s="19" t="s">
        <v>252</v>
      </c>
      <c r="H10" s="21" t="s">
        <v>81</v>
      </c>
      <c r="I10" s="19" t="s">
        <v>79</v>
      </c>
      <c r="J10" s="19" t="s">
        <v>454</v>
      </c>
      <c r="K10" s="19" t="s">
        <v>79</v>
      </c>
    </row>
    <row r="11" ht="31.5" customHeight="1">
      <c r="A11" s="20">
        <v>5.0</v>
      </c>
      <c r="B11" s="18" t="s">
        <v>455</v>
      </c>
      <c r="C11" s="31" t="s">
        <v>456</v>
      </c>
      <c r="D11" s="18" t="s">
        <v>281</v>
      </c>
      <c r="E11" s="20" t="s">
        <v>79</v>
      </c>
      <c r="F11" s="20" t="s">
        <v>126</v>
      </c>
      <c r="G11" s="18" t="s">
        <v>252</v>
      </c>
      <c r="H11" s="20" t="s">
        <v>81</v>
      </c>
      <c r="I11" s="18" t="s">
        <v>79</v>
      </c>
      <c r="J11" s="18" t="s">
        <v>460</v>
      </c>
      <c r="K11" s="18" t="s">
        <v>79</v>
      </c>
    </row>
    <row r="12" ht="31.5" customHeight="1">
      <c r="A12" s="21">
        <v>6.0</v>
      </c>
      <c r="B12" s="19" t="s">
        <v>198</v>
      </c>
      <c r="C12" s="33" t="s">
        <v>461</v>
      </c>
      <c r="D12" s="19" t="s">
        <v>462</v>
      </c>
      <c r="E12" s="21" t="s">
        <v>79</v>
      </c>
      <c r="F12" s="21" t="s">
        <v>126</v>
      </c>
      <c r="G12" s="19" t="s">
        <v>252</v>
      </c>
      <c r="H12" s="21" t="s">
        <v>81</v>
      </c>
      <c r="I12" s="19" t="s">
        <v>79</v>
      </c>
      <c r="J12" s="19" t="s">
        <v>463</v>
      </c>
      <c r="K12" s="19" t="s">
        <v>79</v>
      </c>
    </row>
    <row r="13" ht="31.5" customHeight="1">
      <c r="A13" s="20">
        <v>7.0</v>
      </c>
      <c r="B13" s="18" t="s">
        <v>207</v>
      </c>
      <c r="C13" s="31" t="s">
        <v>464</v>
      </c>
      <c r="D13" s="18" t="s">
        <v>462</v>
      </c>
      <c r="E13" s="20" t="s">
        <v>79</v>
      </c>
      <c r="F13" s="20" t="s">
        <v>81</v>
      </c>
      <c r="G13" s="18" t="s">
        <v>201</v>
      </c>
      <c r="H13" s="20" t="s">
        <v>81</v>
      </c>
      <c r="I13" s="18" t="s">
        <v>79</v>
      </c>
      <c r="J13" s="18" t="s">
        <v>466</v>
      </c>
      <c r="K13" s="18" t="s">
        <v>79</v>
      </c>
    </row>
    <row r="14" ht="31.5" customHeight="1">
      <c r="A14" s="21">
        <v>8.0</v>
      </c>
      <c r="B14" s="19" t="s">
        <v>215</v>
      </c>
      <c r="C14" s="33" t="s">
        <v>467</v>
      </c>
      <c r="D14" s="19" t="s">
        <v>462</v>
      </c>
      <c r="E14" s="21" t="s">
        <v>79</v>
      </c>
      <c r="F14" s="21" t="s">
        <v>81</v>
      </c>
      <c r="G14" s="19" t="s">
        <v>201</v>
      </c>
      <c r="H14" s="21" t="s">
        <v>81</v>
      </c>
      <c r="I14" s="19" t="s">
        <v>79</v>
      </c>
      <c r="J14" s="19" t="s">
        <v>469</v>
      </c>
      <c r="K14" s="19" t="s">
        <v>79</v>
      </c>
    </row>
    <row r="15" ht="31.5" customHeight="1">
      <c r="A15" s="20">
        <v>9.0</v>
      </c>
      <c r="B15" s="18" t="s">
        <v>118</v>
      </c>
      <c r="C15" s="31" t="s">
        <v>387</v>
      </c>
      <c r="D15" s="18" t="s">
        <v>246</v>
      </c>
      <c r="E15" s="32" t="s">
        <v>272</v>
      </c>
      <c r="F15" s="20" t="s">
        <v>126</v>
      </c>
      <c r="G15" s="18" t="s">
        <v>252</v>
      </c>
      <c r="H15" s="20" t="s">
        <v>81</v>
      </c>
      <c r="I15" s="18" t="s">
        <v>539</v>
      </c>
      <c r="J15" s="18" t="s">
        <v>471</v>
      </c>
      <c r="K15" s="18" t="s">
        <v>79</v>
      </c>
    </row>
    <row r="16" ht="31.5" customHeight="1">
      <c r="A16" s="21">
        <v>10.0</v>
      </c>
      <c r="B16" s="19" t="s">
        <v>473</v>
      </c>
      <c r="C16" s="33" t="s">
        <v>474</v>
      </c>
      <c r="D16" s="19" t="s">
        <v>276</v>
      </c>
      <c r="E16" s="21" t="s">
        <v>79</v>
      </c>
      <c r="F16" s="21" t="s">
        <v>81</v>
      </c>
      <c r="G16" s="19" t="s">
        <v>279</v>
      </c>
      <c r="H16" s="21" t="s">
        <v>81</v>
      </c>
      <c r="I16" s="19" t="s">
        <v>79</v>
      </c>
      <c r="J16" s="19" t="s">
        <v>476</v>
      </c>
      <c r="K16" s="19" t="s">
        <v>79</v>
      </c>
    </row>
    <row r="17" ht="31.5" customHeight="1">
      <c r="A17" s="20">
        <v>11.0</v>
      </c>
      <c r="B17" s="18" t="s">
        <v>478</v>
      </c>
      <c r="C17" s="31" t="s">
        <v>479</v>
      </c>
      <c r="D17" s="18" t="s">
        <v>276</v>
      </c>
      <c r="E17" s="20" t="s">
        <v>79</v>
      </c>
      <c r="F17" s="20" t="s">
        <v>81</v>
      </c>
      <c r="G17" s="18" t="s">
        <v>279</v>
      </c>
      <c r="H17" s="20" t="s">
        <v>81</v>
      </c>
      <c r="I17" s="18" t="s">
        <v>79</v>
      </c>
      <c r="J17" s="18" t="s">
        <v>481</v>
      </c>
      <c r="K17" s="18" t="s">
        <v>79</v>
      </c>
    </row>
    <row r="18" ht="3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37.5" customHeight="1">
      <c r="A20" s="14" t="s">
        <v>483</v>
      </c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30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30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2:K2"/>
    <mergeCell ref="A3:K3"/>
    <mergeCell ref="A5:K5"/>
    <mergeCell ref="A20:K20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27.0"/>
    <col customWidth="1" min="4" max="4" width="23.0"/>
    <col customWidth="1" min="5" max="5" width="16.0"/>
    <col customWidth="1" min="6" max="6" width="11.0"/>
    <col customWidth="1" min="7" max="7" width="24.0"/>
    <col customWidth="1" min="8" max="8" width="11.0"/>
    <col customWidth="1" min="9" max="9" width="34.0"/>
    <col customWidth="1" min="10" max="10" width="40.0"/>
    <col customWidth="1" min="11" max="11" width="31.0"/>
    <col customWidth="1" min="12" max="26" width="8.63"/>
  </cols>
  <sheetData>
    <row r="1" ht="39.75" customHeight="1">
      <c r="A1" s="13" t="s">
        <v>572</v>
      </c>
    </row>
    <row r="2" ht="37.5" customHeight="1">
      <c r="A2" s="2" t="s">
        <v>573</v>
      </c>
    </row>
    <row r="3" ht="37.5" customHeight="1">
      <c r="A3" s="3" t="s">
        <v>574</v>
      </c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4" t="s">
        <v>212</v>
      </c>
    </row>
    <row r="6" ht="34.5" customHeight="1">
      <c r="A6" s="17" t="s">
        <v>49</v>
      </c>
      <c r="B6" s="17" t="s">
        <v>564</v>
      </c>
      <c r="C6" s="17" t="s">
        <v>565</v>
      </c>
      <c r="D6" s="17" t="s">
        <v>220</v>
      </c>
      <c r="E6" s="17" t="s">
        <v>223</v>
      </c>
      <c r="F6" s="17" t="s">
        <v>225</v>
      </c>
      <c r="G6" s="17" t="s">
        <v>226</v>
      </c>
      <c r="H6" s="17" t="s">
        <v>228</v>
      </c>
      <c r="I6" s="17" t="s">
        <v>566</v>
      </c>
      <c r="J6" s="17" t="s">
        <v>229</v>
      </c>
      <c r="K6" s="17" t="s">
        <v>233</v>
      </c>
    </row>
    <row r="7" ht="31.5" customHeight="1">
      <c r="A7" s="20">
        <v>1.0</v>
      </c>
      <c r="B7" s="22" t="s">
        <v>135</v>
      </c>
      <c r="C7" s="23" t="s">
        <v>465</v>
      </c>
      <c r="D7" s="23" t="s">
        <v>246</v>
      </c>
      <c r="E7" s="32" t="s">
        <v>247</v>
      </c>
      <c r="F7" s="20" t="s">
        <v>81</v>
      </c>
      <c r="G7" s="18" t="s">
        <v>252</v>
      </c>
      <c r="H7" s="20" t="s">
        <v>126</v>
      </c>
      <c r="I7" s="18" t="s">
        <v>79</v>
      </c>
      <c r="J7" s="34" t="s">
        <v>468</v>
      </c>
      <c r="K7" s="18" t="s">
        <v>79</v>
      </c>
    </row>
    <row r="8" ht="31.5" customHeight="1">
      <c r="A8" s="21">
        <v>2.0</v>
      </c>
      <c r="B8" s="28" t="s">
        <v>78</v>
      </c>
      <c r="C8" s="27" t="s">
        <v>240</v>
      </c>
      <c r="D8" s="27" t="s">
        <v>246</v>
      </c>
      <c r="E8" s="35" t="s">
        <v>272</v>
      </c>
      <c r="F8" s="21" t="s">
        <v>81</v>
      </c>
      <c r="G8" s="19" t="s">
        <v>252</v>
      </c>
      <c r="H8" s="21" t="s">
        <v>81</v>
      </c>
      <c r="I8" s="28" t="s">
        <v>536</v>
      </c>
      <c r="J8" s="28" t="s">
        <v>472</v>
      </c>
      <c r="K8" s="19" t="s">
        <v>79</v>
      </c>
    </row>
    <row r="9" ht="31.5" customHeight="1">
      <c r="A9" s="20">
        <v>3.0</v>
      </c>
      <c r="B9" s="23" t="s">
        <v>214</v>
      </c>
      <c r="C9" s="23" t="s">
        <v>475</v>
      </c>
      <c r="D9" s="23" t="s">
        <v>439</v>
      </c>
      <c r="E9" s="35" t="s">
        <v>260</v>
      </c>
      <c r="F9" s="20" t="s">
        <v>81</v>
      </c>
      <c r="G9" s="18" t="s">
        <v>252</v>
      </c>
      <c r="H9" s="20" t="s">
        <v>81</v>
      </c>
      <c r="I9" s="34" t="s">
        <v>79</v>
      </c>
      <c r="J9" s="34" t="s">
        <v>477</v>
      </c>
      <c r="K9" s="34" t="s">
        <v>334</v>
      </c>
    </row>
    <row r="10" ht="31.5" customHeight="1">
      <c r="A10" s="21">
        <v>4.0</v>
      </c>
      <c r="B10" s="27" t="s">
        <v>480</v>
      </c>
      <c r="C10" s="27" t="s">
        <v>348</v>
      </c>
      <c r="D10" s="27" t="s">
        <v>276</v>
      </c>
      <c r="E10" s="21" t="s">
        <v>79</v>
      </c>
      <c r="F10" s="20" t="s">
        <v>81</v>
      </c>
      <c r="G10" s="19" t="s">
        <v>252</v>
      </c>
      <c r="H10" s="21" t="s">
        <v>81</v>
      </c>
      <c r="I10" s="19" t="s">
        <v>79</v>
      </c>
      <c r="J10" s="28" t="s">
        <v>482</v>
      </c>
      <c r="K10" s="19" t="s">
        <v>79</v>
      </c>
    </row>
    <row r="11" ht="31.5" customHeight="1">
      <c r="A11" s="20">
        <v>5.0</v>
      </c>
      <c r="B11" s="23" t="s">
        <v>484</v>
      </c>
      <c r="C11" s="23" t="s">
        <v>274</v>
      </c>
      <c r="D11" s="23" t="s">
        <v>276</v>
      </c>
      <c r="E11" s="20" t="s">
        <v>79</v>
      </c>
      <c r="F11" s="20" t="s">
        <v>81</v>
      </c>
      <c r="G11" s="18" t="s">
        <v>252</v>
      </c>
      <c r="H11" s="20" t="s">
        <v>81</v>
      </c>
      <c r="I11" s="18" t="s">
        <v>79</v>
      </c>
      <c r="J11" s="34" t="s">
        <v>485</v>
      </c>
      <c r="K11" s="18" t="s">
        <v>79</v>
      </c>
    </row>
    <row r="12" ht="30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30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37.5" customHeight="1">
      <c r="A14" s="2" t="s">
        <v>486</v>
      </c>
    </row>
    <row r="15" ht="30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30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30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3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A1:K1"/>
    <mergeCell ref="A2:K2"/>
    <mergeCell ref="A3:K3"/>
    <mergeCell ref="A5:K5"/>
    <mergeCell ref="A14:K1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